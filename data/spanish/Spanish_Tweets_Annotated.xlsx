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claua\OneDrive\Documentos\NLP Group Assignment\NLP-Group-Project\data\spanish\"/>
    </mc:Choice>
  </mc:AlternateContent>
  <xr:revisionPtr revIDLastSave="0" documentId="13_ncr:1_{03EC3FBD-7E3A-42BA-B11C-FE3B69D6FB20}" xr6:coauthVersionLast="47" xr6:coauthVersionMax="47" xr10:uidLastSave="{00000000-0000-0000-0000-000000000000}"/>
  <bookViews>
    <workbookView xWindow="-110" yWindow="-110" windowWidth="19420" windowHeight="10300" tabRatio="500" xr2:uid="{00000000-000D-0000-FFFF-FFFF00000000}"/>
  </bookViews>
  <sheets>
    <sheet name="Annotation Tracker" sheetId="1" r:id="rId1"/>
    <sheet name="Agreement Summary" sheetId="2" r:id="rId2"/>
    <sheet name="Label Quick Referenc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2" i="2" l="1"/>
  <c r="B11" i="2"/>
  <c r="B10" i="2"/>
  <c r="B4" i="2"/>
  <c r="B3" i="2"/>
  <c r="B2" i="2"/>
  <c r="H31" i="1"/>
  <c r="E31" i="1"/>
  <c r="H30" i="1"/>
  <c r="E30" i="1"/>
  <c r="H26" i="1"/>
  <c r="H25" i="1"/>
  <c r="E25" i="1"/>
  <c r="H24" i="1"/>
  <c r="E24" i="1"/>
  <c r="H22" i="1"/>
  <c r="E22" i="1"/>
  <c r="H21" i="1"/>
  <c r="E21" i="1"/>
  <c r="H20" i="1"/>
  <c r="E20" i="1"/>
  <c r="H19" i="1"/>
  <c r="E19" i="1"/>
  <c r="H17" i="1"/>
  <c r="E17" i="1"/>
  <c r="H16" i="1"/>
  <c r="E16" i="1"/>
  <c r="H15" i="1"/>
  <c r="E15" i="1"/>
  <c r="H14" i="1"/>
  <c r="E14" i="1"/>
  <c r="H12" i="1"/>
  <c r="E12" i="1"/>
  <c r="H11" i="1"/>
  <c r="E11" i="1"/>
  <c r="H10" i="1"/>
  <c r="E10" i="1"/>
  <c r="H9" i="1"/>
  <c r="E9" i="1"/>
  <c r="H8" i="1"/>
  <c r="E8" i="1"/>
  <c r="E7" i="1"/>
  <c r="H6" i="1"/>
  <c r="E6" i="1"/>
  <c r="H5" i="1"/>
  <c r="E5" i="1"/>
  <c r="H4" i="1"/>
  <c r="E4" i="1"/>
  <c r="H3" i="1"/>
  <c r="E3" i="1"/>
  <c r="B5" i="2" l="1"/>
</calcChain>
</file>

<file path=xl/sharedStrings.xml><?xml version="1.0" encoding="utf-8"?>
<sst xmlns="http://schemas.openxmlformats.org/spreadsheetml/2006/main" count="422" uniqueCount="298">
  <si>
    <t>TWEET INFO</t>
  </si>
  <si>
    <t>ANNOTATOR 1</t>
  </si>
  <si>
    <t>ANNOTATOR 2</t>
  </si>
  <si>
    <t>RESOLUTION</t>
  </si>
  <si>
    <t>PIPELINE INPUT</t>
  </si>
  <si>
    <t>ID</t>
  </si>
  <si>
    <t>Tweet Text (Spanish)</t>
  </si>
  <si>
    <t>URL</t>
  </si>
  <si>
    <t>Topic Area</t>
  </si>
  <si>
    <t>A1 Label</t>
  </si>
  <si>
    <t>A1 Confidence
(1-3)</t>
  </si>
  <si>
    <t>A1 Rationale / Source</t>
  </si>
  <si>
    <t>A2 Label</t>
  </si>
  <si>
    <t>A2 Confidence
(1-3)</t>
  </si>
  <si>
    <t>A2 Rationale / Source</t>
  </si>
  <si>
    <t>Agreement?
(Y/N)</t>
  </si>
  <si>
    <t>Gold Label</t>
  </si>
  <si>
    <t>Disagree
Code</t>
  </si>
  <si>
    <t>Notes / Flags</t>
  </si>
  <si>
    <t>MT Translation (EN)</t>
  </si>
  <si>
    <t>Pipeline
Prediction</t>
  </si>
  <si>
    <t>ES-01</t>
  </si>
  <si>
    <t>La ciencia es contundente: tras analizar a más de 1.3 millones de niños, se confirma que no existe vínculo entre las vacunas y el autismo. 🧬 La desinformación confunde coincidencias temporales con causalidad. ¡Las vacunas salvan vidas y son seguras! 🛡️✨ #Ciencia #Vacunas</t>
  </si>
  <si>
    <t>https://x.com/BondzuCubs/status/2063670312462405976</t>
  </si>
  <si>
    <t>Vaccines</t>
  </si>
  <si>
    <t>e.g. Taylor et al. (2002), Madsen et al. (2002), or the 2019 Hviid et al. meta-analysis of 650,000+ Danish children — all find no MMR-autism link. Claim is directionally accurate.</t>
  </si>
  <si>
    <t>Multiple large-scale meta-analyses (incl. Hviid et al. 2019, 650k+ children) confirm no MMR–autism link</t>
  </si>
  <si>
    <t>Y</t>
  </si>
  <si>
    <t>TRUE</t>
  </si>
  <si>
    <t>-</t>
  </si>
  <si>
    <t>Tweet mixes verifiable factual claim with editorial framing ("La desinformación confunde…"). Core claim annotated, not the opinion. The 1.3M figure likely refers to the 2019 Hviid et al. study (~650K) or a pooled estimate,slightly imprecise but not substantially wrong per rule 4.5.</t>
  </si>
  <si>
    <t>The science is conclusive: after analyzing more than 1.3 million children, it's confirmed that there is no link between vaccines and autism. 🧬 Misinformation confuses temporal coincidences with causality. Vaccines save lives and are safe! 🛡️✨ #Science #Vaccines</t>
  </si>
  <si>
    <t>ES-02</t>
  </si>
  <si>
    <t>ATENCION: Las vacunas que contienen mercurio (timerosal) causan autismo...Los reguladores de vacunas ya lo sabían en 1999 y lo saben a día de hoy ...
Robert F Kennedy Jr.
¿Más EVIDENCIA de que las vacunas causan autismo?
http://ncbi.nlm.nih.gov/pmc/articles/PMC3878266/</t>
  </si>
  <si>
    <t>https://x.com/Fa21519230/status/1933929795319910721</t>
  </si>
  <si>
    <t>Thimerosal-autism claim contradicts scientific consensus. Removed from most vaccines in 2001; autism rates continued rising afterwards, disconfirming the hypothesis. WHO, CDC, and multiple large-scale studies find no causal link. Linked PubMed article (PMC3878266) is a real but heavily criticised outlier, does not represent consensus.</t>
  </si>
  <si>
    <t>Thimerosal autism hypothesis contradicts consensus; autism rates continued rising after thimerosal removal from most vaccines in 2001 (WHO, CDC).</t>
  </si>
  <si>
    <t>FALSE</t>
  </si>
  <si>
    <t>Tweet includes pubmed link, might confuse pipeline</t>
  </si>
  <si>
    <t>ES-03</t>
  </si>
  <si>
    <t>A fecha 24 de septiembre de 2025 y continua la EPIDEMIA de extraños coágulos blancos fibrosos, relacionados con las "vacunas" COVID...Taponan venas y arterias de "vacunados" y han podido causar un tsunami de muertes súbitas desde 2021.
John Olooney, director de funeraria.</t>
  </si>
  <si>
    <t>https://x.com/Fa21519230/status/2061459993694519576</t>
  </si>
  <si>
    <t>Claims of fibrous clot epidemic and vaccine-caused mass sudden deaths contradict scientific consensus. Source cited is a funeral director, not peer-reviewed. Partial truth noted: rare VITT clotting is documented for AstraZeneca but massively overstated here.</t>
  </si>
  <si>
    <t>No peer-reviewed evidence for a fibrous-clot epidemic or vaccine-caused mass sudden deaths; only source cited is a funeral director, not scientific literature.</t>
  </si>
  <si>
    <t>[DATE: 2025-09-24] Partial truth: rare VITT clotting known for AstraZeneca but claim vastly overstated. Scare quotes around "vacunas" signal distrust, not sarcasm — claim still asserted as fact. Non-scientific source (funeral director).</t>
  </si>
  <si>
    <t>As of September 24, 2025, the epidemic of strange, white, fibrous clots linked to COVID "vaccines" continues... They clog the veins and arteries of vaccinated individuals and may have caused a tsunami of sudden deaths since 2021.
John Olooney, Funeral Director.</t>
  </si>
  <si>
    <t>ES-04</t>
  </si>
  <si>
    <t>En 1891, el Dr. J. Collins Warren publicaba en el Boston Medical and Surgical Journal un artículo titulado "The Parasitic Origin of Cancer"...
Investigadores, entre ellos el Dr. Weber, han filmado al microscopio lo que llaman micro-parásitos presentes en los tejidos de todos los pacientes con cáncer...
La medicina oficial los llama "orgánulos celulares" o "vesículas atípicas"...
Pero estos «orgánulos» se mueven activamente… y sobreviven incluso cuando la célula muere.
Dr. Lee Merritt: "Saben que el cáncer es causado por parásitos, pero no quieren que se sepa… porque perderían su financiación".</t>
  </si>
  <si>
    <t>https://x.com/elzorrotacneno/status/2062698756710293547</t>
  </si>
  <si>
    <t>Cancer</t>
  </si>
  <si>
    <t>Universal parasitic causation of cancer contradicts scientific consensus. Some parasites raise cancer risk in specific contexts but this is not the same claim. The 1891 Warren article is real but a long-abandoned hypothesis. Lee Merritt is a known misinformation figure, not an oncology researcher. Moving "orgánulos" are standard cell biology (e.g. mitochondria, exosomes).</t>
  </si>
  <si>
    <t>Universal parasitic causation of cancer contradicts oncology consensus; 'moving organelles' are standard cell biology (mitochondria, exosomes); Lee Merritt is a known misinformation figure.</t>
  </si>
  <si>
    <t>Partial truth: some parasites (e.g. Schistosoma haematobium) are established cancer risk factors — note per §4.2, dominant claim is FALSE. Historical legitimacy framing (1891 article) does not validate the claim. Non-scientific source (Lee Merritt). Conspiracy framing ("no quieren que se sepa").</t>
  </si>
  <si>
    <t>In 1891, Dr. J. Collins Warren published an article in the Boston Medical and Surgical Journal entitled "The Parasitic Origin of Cancer"... Researchers, including Dr. Weber, have filmed under a microscope what they call micro-parasites present in the tissues of all cancer patients... Mainstream medicine calls them "cell organelles" or "atypical vesicles"... But these "organelles" move actively... and survive even when the cell dies.
Dr. Lee Merritt: "They know that cancer is caused by parasites, but they don't want it to be known... because they would lose their funding."</t>
  </si>
  <si>
    <t>ES-05</t>
  </si>
  <si>
    <t>El veneno de abeja ha demostrado capacidad para matar células cancerosas al destruir su membrana y desencadenar apoptosis (muerte celular programada). Este efecto selectivo lo convierte en un potencial aliado contra el cáncer.</t>
  </si>
  <si>
    <t>https://x.com/Bio_comunidad/status/1829665809720832194</t>
  </si>
  <si>
    <t>The tweet is false because while bee venom shows some anti-cancer effects in laboratory and animal studies, it has never been tested in human clinical trials, is not an approved treatment, and its claimed "selective" effect on cancer cells is misleading — it can also damage healthy tissue and trigger severe allergic reactions.</t>
  </si>
  <si>
    <t>UNVERIFIABLE</t>
  </si>
  <si>
    <t>Melittin has real in vitro cytotoxic effects (e.g. Nature Precision Oncology 2020), but 'ha demostrado' overstates early-stage preclinical research as established clinical fact.</t>
  </si>
  <si>
    <t>N</t>
  </si>
  <si>
    <t>EVIDENCE</t>
  </si>
  <si>
    <t>Partial truth: in vitro evidence for melittin cytotoxicity is real but "ha demostrado" and "efecto selectivo" overstate clinical validity per §4.2. No source cited per §5.9 — figure/claim unverifiable without reference. Likely annotator disagreement between UNVERIFIABLE and TRUE. [OVERSTATEMENT-OF-EVIDENCE]</t>
  </si>
  <si>
    <t>Bee venom has demonstrated the ability to kill cancer cells by destroying their membranes and triggering apoptosis (programmed cell death). This selective effect makes it a potential ally against cancer.</t>
  </si>
  <si>
    <t>ES-06</t>
  </si>
  <si>
    <t>Hay un test de sangre llamado Galleri que detecta cáncer antes de que dé síntomas. La clave: toda célula que muere libera fragmentos de ADN al torrente sanguíneo, y las cancerígenas dejan una huella molecular distinta. El test reconoce esa huella en una muestra. #deteccionCancer</t>
  </si>
  <si>
    <t>https://x.com/carlodelasancha/status/2063727700628603071</t>
  </si>
  <si>
    <t>Galleri is a real MCED blood test by GRAIL. The cfDNA mechanism and cancer methylation signature are accurately described and supported by peer-reviewed literature. Claim is appropriately hedged ("antes de que dé síntomas"). No overclaiming.</t>
  </si>
  <si>
    <t>Galleri (GRAIL) is a real MCED blood test; DNA cancer methylation signature mechanism is accurately described and supported by peer-reviewed literature.</t>
  </si>
  <si>
    <t>Hashtag #deteccionCancer kept in column B per §5.3 — does not affect label. URL is hashtag link.</t>
  </si>
  <si>
    <t>There's a blood test called Galleri that detects cancer before symptoms appear. The key: every dying cell releases fragments of DNA into the bloodstream, and cancerous cells leave a distinct molecular signature. The test recognizes this signature in a sample. #CancerDetection</t>
  </si>
  <si>
    <t>ES-07</t>
  </si>
  <si>
    <t>🚨🚨Florida PROHÍBE la carne falsa de Bill Gates, 'causa cáncer'  👏
Un estudio REVELA que la carne falsa de Bill Gates causa 'turbocánceres' en humanos. La Élite Globalista en el WEF están promoviendo fuertemente la carne sintética como la "solución al llamado "Cambio Climático" ahora se ha demostrado que la CARNE FALSA DE BILL GATES CAUSA CÁNCER.
Por eso están eliminando la agricultura y la ganadería para que no te quede otra opción que la carne falsa de Bill Gates ⚔️🔥
👇
https://thepeoplesvoice.tv/florida-set-to-ban-bill-gates-fake-meat-it-causes-cancer/</t>
  </si>
  <si>
    <t>https://x.com/dejanirasilveir/status/1839726477849375107</t>
  </si>
  <si>
    <t>Food Science</t>
  </si>
  <si>
    <t>No peer-reviewed evidence that cultivated meat causes cancer or "turbo cancers". The People's Voice is a known misinformation outlet. Florida's lab-grown meat ban is real but not on cancer grounds. Conspiracy framing (Bill Gates, WEF, globalist elite) does not constitute scientific evidence.</t>
  </si>
  <si>
    <t>No scientific evidence that cultivated meat causes cancer or 'turbo cancers'; The People's Voice is a known misinformation outlet; Florida's ban is real but not based on cancer evidence.</t>
  </si>
  <si>
    <t>URL source is The People's Voice, a known misinformation outlet — annotating tweet text only per §5.1, [LINK-DEPENDENT] not needed as claim is self-contained. Partial truth: Florida ban on lab-grown meat is real but not justified on cancer grounds — dominant claim FALSE per §4.2. Conspiracy framing (Gates, WEF). [TROJAN-HORSE]</t>
  </si>
  <si>
    <t>🚨🚨Florida BANS Bill Gates' fake meat, 'it causes cancer' 👏
A study REVEALS that Bill Gates' fake meat causes 'turbocancers' in humans. The Globalist Elite at the WEF are heavily promoting synthetic meat as the "solution to so-called "Climate Change" now BILL GATES' FAKE MEAT has been proven to CAUSE CANCER.
That's why they are eliminating agriculture and livestock so that you have no other option than Bill Gates' fake meat ⚔️🔥
👇
https://thepeoplesvoice.tv/florida-set-to-ban-bill-gates-fake-meat-it-causes-cancer/</t>
  </si>
  <si>
    <t>ES-08</t>
  </si>
  <si>
    <t>🚨🚨 Este médico explica qué le hizo exactamente cada "vacuna* contra COVID a tu sistema inmunológico y por qué se administraban cada 8 semanas....
Sabían exactamente lo que estaban haciendo...
▪️ Primera inyección: reduce la producción de glóbulos blancos en un 50 %...
▪️ El sistema inmunológico comienza a recuperarse lentamente...
▪️ 8 semanas después: la segunda dosis llega mientras aún estás caído...
▪️Esta vez menos salina, más carga tóxica...
Ahora su defensa inmunológica está debilitada y su sistema no puede recuperarse como está diseñado...
Esto no es medicina. Es ingeniería: atacar tu inmunidad en oleadas calculadas...</t>
  </si>
  <si>
    <t>https://x.com/Fa21519230/status/2063356348071641329</t>
  </si>
  <si>
    <t>No evidence COVID vaccines reduce white blood cell production by 50%. No evidence of deliberate immune suppression by design. Dosing intervals were based on immunogenicity data, not exploitation of immune weakness. Claim contradicts scientific consensus on vaccine safety and mechanism.</t>
  </si>
  <si>
    <t>No evidence that COVID vaccines reduce white blood cell production by 50%; dosing intervals were based on immunogenicity data, not deliberate immune suppression — contradicts scientific consensus.</t>
  </si>
  <si>
    <t>Numerical claim "50%" per §4.5 — substantially wrong, label unaffected. No named source ("este médico" is anonymous). Conspiracy framing ("sabían exactamente lo que estaban haciendo"). Scare quotes around "vacuna" signal distrust, not sarcasm.</t>
  </si>
  <si>
    <t>🚨🚨 This doctor explains exactly what each COVID "vaccine" did to your immune system and why they were administered every 8 weeks... They knew exactly what they were doing...
▪️ First injection: reduces white blood cell production by 50%...
▪️ The immune system slowly begins to recover...
▪️ 8 weeks later: the second dose arrives while you're still down...
▪️ This time less saline, more toxic load...
Now your immune defense is weakened and your system can't recover as it's designed to... This isn't medicine. It's engineering: attacking your immunity in calculated waves...</t>
  </si>
  <si>
    <t>ES-09</t>
  </si>
  <si>
    <t>🚨 C*NC*R DE PRÓSTATA EN ESTADIO 4 — DIAGNÓSTICO TERMINAL VENCIDO SIN QUIMIOTERAPIA! ESTE HOMBRE ES LA PRUEBA VIVA EN 2026!
Los médicos le dijeron que solo le quedaban 10 meses de vida.
C*nc*r de próstata en estadio 4.
Sin esperanza sin quimioterapia. Él se negó. En cambio, recurrió al Dióxido de Cloro (oral + intravenoso) combinado con enemas diarios de CD, más autocuidado y nutrición para limpiar y oxigenar su cuerpo.
¿Hoy? Está sano, fuerte y libre de c*nc*r. Esta es una historia tan increíble —del tipo que el establecimiento médico no quiere que veas.
El dióxido de cloro oxida y destruye lo que no pertenece… mientras que la comida real y el autocuidado reconstruyen lo que sí. Sin veneno. Sin radiación. Solo resultados.
Esto podría ser el remedio que han estado ocultando para TODAS las enfermedades. Compártelo con alguien que esté luchando contra el cáncer.
La verdad se está extendiendo en 2026. Reza por cada guerrero ahí fuera.
Toma el control de tu propia salud.</t>
  </si>
  <si>
    <t>https://x.com/EmpiezaHoyYa/status/2063198535252586570</t>
  </si>
  <si>
    <t>Chlorine dioxide has no peer-reviewed evidence as a cancer treatment. It is classified as a dangerous bleaching agent by the FDA and WHO. Single anecdotal case does not constitute scientific evidence. Claim that it cures all diseases directly contradicts scientific consensus.</t>
  </si>
  <si>
    <t>Chlorine dioxide has no peer-reviewed evidence as a cancer treatment; FDA and WHO classify it as a dangerous industrial bleach; single anecdote cannot establish efficacy.</t>
  </si>
  <si>
    <t>Anecdotal single case generalised to universal cure per §4.4 — dominant claim still FALSE not UNVERIFIABLE as chlorine dioxide is actively contraindicated by scientific consensus. Self-censored spelling (C*NC*R) per §4.6 — interpreted charitably as "cáncer". Conspiracy framing ("el establecimiento médico no quiere que veas"). [HISTORICAL-APPEAL]</t>
  </si>
  <si>
    <t>🚨 STAGE 4 PROSTATE CANCER — TERMINALLY OVERCOME WITHOUT CHEMOTHERAPY! THIS MAN IS LIVING PROOF IN 2026!
Doctors told him he only had 10 months to live.
Stage 4 prostate cancer.
No hope without chemotherapy. He refused. Instead, he turned to Chlorine Dioxide (oral + intravenous) combined with daily CD enemas, plus self-care and nutrition to cleanse and oxygenate his body.
Today? He is healthy, strong, and cancer-free. This is such an incredible story—the kind the medical establishment doesn't want you to see.
Chlorine dioxide oxidizes and destroys what doesn't belong… while real food and self-care rebuild what does. No poison. No radiation. Just results.
This could be the cure they've been hiding for ALL diseases. Share it with someone battling cancer.
The truth is spreading in 2026. Pray for every warrior out there.
Take control of your own health.</t>
  </si>
  <si>
    <t>ES-10</t>
  </si>
  <si>
    <t>Antes de los laboratorios modernos, la penicilina se obtenía de forma natural a partir del moho que crece en frutas como la naranja o el pan viejo. 
Ese moho pertenece al género Penicillium, el mismo que Alexander Fleming descubrió por accidente en 1928. 
En tiempos antiguos, algunos curanderos ya aplicaban este tipo de hongos sobre heridas infectadas, observando su poder para detener infecciones. 
Recuerda que la naturaleza fue siempre la primera farmacia de la humanidad.</t>
  </si>
  <si>
    <t>https://x.com/elzorrotacneno/status/2063093978115801499</t>
  </si>
  <si>
    <t>Medicine</t>
  </si>
  <si>
    <t>Fleming's 1928 discovery of Penicillium mould is historically accurate. The genus Penicillium does grow on citrus and bread. Historical use of moulds on wounds by ancient healers is documented in archaeological and historical literature.</t>
  </si>
  <si>
    <t>Fleming's 1928 Penicillium discovery and its growth on bread/citrus are historically accurate; ancient use of moulds on infected wounds is documented in archaeological literature.</t>
  </si>
  <si>
    <t>Confidence 2 not 3: "algunos curanderos ya aplicaban este tipo de hongos" is historically plausible but not precisely verifiable — annotator 2 may lean UNVERIFIABLE on this sub-claim. Final sentence ("la naturaleza fue siempre la primera farmacia") is opinion per §2, disregarded for labelling. Dominant claim TRUE per §4.2.</t>
  </si>
  <si>
    <t>Before modern laboratories, penicillin was obtained naturally from the mold that grows on fruits like oranges or stale bread.
This mold belongs to the genus Penicillium, the same one Alexander Fleming discovered by accident in 1928.
In ancient times, some healers applied this type of fungus to infected wounds, observing its power to stop infections.
Remember that nature has always been humanity's first pharmacy.</t>
  </si>
  <si>
    <t>ES-11</t>
  </si>
  <si>
    <t>🚨 ÚLTIMA HORA: El fenbendazol se relaciona con la remisión o casi remisión en tres pacientes con cáncer en estadio IV...
Nuevo estudio informa que pacientes con cáncer de mama, próstata y melanoma experimentaron una regresión tumoral drástica y una remisión duradera, sin quimioterapia 👇
✅ Caso 1: Mujer de 83 años, estadio IV de mama → Remisión completa (3 años)
✅ Caso 2: Hombre de 75 años, próstata en estadio IV → Remisión casi completa (26 meses, PSA indetectable)
✅ Caso 3: Hombre de 63 años, melanoma en estadio IV → Remisión completa (11 meses)
Los resultados reflejan los hallazgos preclínicos sobre la actividad anticancerígena del fenbendazol. Al igual que la ivermectina, el fenbendazol puede actuar como un potente agente anticancerígeno...
https://t.co/miLzBe4bzI</t>
  </si>
  <si>
    <t>https://x.com/Fa21519230/status/1958163563425493015</t>
  </si>
  <si>
    <t>Fenbendazole does have real preclinical anticancer activity in cell and animal studies. A small case series of 3 patients exists in the literature. However 3 cases without controls cannot establish causation. "ÚLTIMA HORA" framing overstates a very preliminary case report as breakthrough evidence. Cannot verify or refute the specific claims without accessing the linked study, which is not permitted per §5.1.</t>
  </si>
  <si>
    <t>Fenbendazole has real preclinical anticancer activity; a small case series exists, but 3 cases without controls cannot establish causation, and the specific study cannot be verified without accessing the link.</t>
  </si>
  <si>
    <t>URL present per §5.1 — annotating tweet text only, [LINK-DEPENDENT] applies as specific case data cannot be verified without the linked study. Partial truth: fenbendazole preclinical anticancer activity is real per §4.2. 3-patient case series is insufficient to establish efficacy — overclaiming framing. Ivermectin comparison adds further misinformation signal. [OVERSTATEMENT-OF-EVIDENCE]</t>
  </si>
  <si>
    <t>🚨 BREAKING NEWS: Fenbendazole is linked to remission or near-remission in three patients with stage IV cancer... A new study reports that patients with breast, prostate, and melanoma cancers experienced dramatic tumor regression and long-lasting remission without chemotherapy 👇
✅ Case 1: 83-year-old woman, stage IV breast cancer → Complete remission (3 years)
✅ Case 2: 75-year-old man, stage IV prostate cancer → Near-complete remission (26 months, undetectable PSA)
✅ Case 3: 63-year-old man, stage IV melanoma → Complete remission (11 months)
The results reflect preclinical findings on the anticancer activity of fenbendazole. Like ivermectin, fenbendazole may act as a potent anticancer agent...
https://t.co/miLzBe4bzI</t>
  </si>
  <si>
    <t>ES-12</t>
  </si>
  <si>
    <t>Es uno de los avances más fuertes en cáncer pancreático metastásico: daraxonrasib casi duplicó la supervivencia global frente a quimioterapia en pacientes ya tratados: 13,2 vs 6,6 meses. En un tumor donde ganar meses suele ser difícil, este resultado pesa muchísimo.</t>
  </si>
  <si>
    <t>https://x.com/drteoa/status/2061455281888854118</t>
  </si>
  <si>
    <t>Daraxonrasib (RMC-6236) is a real KRAS inhibitor in clinical trials. The 13.2 vs 6.6 month overall survival figures match data presented at ASCO 2025 for metastatic pancreatic cancer in previously treated patients. Framing is appropriately hedged ("uno de los avances más fuertes", "este resultado pesa muchísimo").</t>
  </si>
  <si>
    <t>Daraxonrasib OS data (13.2 vs 6.6 months) in previously treated metastatic pancreatic cancer matches data presented at ASCO 2025 for this KRAS inhibitor.</t>
  </si>
  <si>
    <t>Numerical claim per §4.5 — 13.2 vs 6.6 months matches published trial data, within acceptable margin. No conspiracy framing. Appropriately hedged language. Good contrast with FALSE vaccine tweets in dataset.</t>
  </si>
  <si>
    <t>It is one of the most significant advances in metastatic pancreatic cancer: daraxonrasib nearly doubled overall survival compared to chemotherapy in previously treated patients: 13.2 vs. 6.6 months. In a tumor where gaining even a few months is often difficult, this result carries immense weight.</t>
  </si>
  <si>
    <t>ES-13</t>
  </si>
  <si>
    <t>🟧Existe una variabilidad significativa en la eficacia y seguridad de los iP2Y12 orales. El ticagrelor y el prasugrel tienen un inicio y un final de acción rápidos, proporcionan una inhibición plaquetaria más rápida, potente y predecible que el clopidogrel. 🤔💊
🔶La resistencia al clopidogrel es un fenómeno clínico bien conocido, caracterizado por una elevada reactividad plaquetaria residual. Esta variabilidad en la respuesta afecta hasta 1/3 de los 👥 tratados con clopidogrel y se asocia a un mayor riesgo de eventos trombóticos. 🧐🚨
🔶Un mecanismo clave es la alteración de la bioactivación debido a variantes con pérdida de función en el gen CYP2C19, en particular CYP2C19*2 y CYP2C19*3, que reducen la generación del metabolito activo del clopidogrel. 🧬💥
🔶Las pruebas de función plaquetaria o genéticas pueden identificar a los 👥 con baja respuesta y orientar el tratamiento con iP2Y12 más potentes en pacientes de alto riesgo. 🔎🧬
🆓📄⤵️
DOI: 10.1161/CIR.0000000000001257
https://t.me/medicinainternaconsoquendo/54727</t>
  </si>
  <si>
    <t>https://x.com/javier20ch/status/2062012578281246860</t>
  </si>
  <si>
    <t>Cardiology</t>
  </si>
  <si>
    <t>Clopidogrel resistance via CYP2C19 loss-of-function variants is well-established in pharmacogenomics literature. Ticagrelor and prasugrel superiority in platelet inhibition speed and predictability vs clopidogrel is supported by multiple RCTs including PLATO and TRITON-TIMI 38. The cited DOI corresponds to an AHA/ACC guideline document. 1/3 prevalence of clopidogrel resistance matches published figures.</t>
  </si>
  <si>
    <t>CYP2C19 loss-of-function variants causing clopidogrel resistance (~1/3 of patients) is pharmacogenomic consensus; ticagrelor/prasugrel superiority confirmed by PLATO and TRITON-TIMI 38 RCTs.</t>
  </si>
  <si>
    <t>DOI cited — credible AHA/ACC source per §5.9. Highly technical language but claim is verifiable and accurate. Good contrast with conspiracy-framed tweets — this is formal scientific communication on social media. No conspiracy framing.</t>
  </si>
  <si>
    <t>🟧There is significant variability in the efficacy and safety of oral P2Y12 inhibitors. Ticagrelor and prasugrel have a rapid onset and termination of action, providing faster, more potent, and more predictable platelet inhibition than clopidogrel. 🤔💊
🔶Clopidogrel resistance is a well-known clinical phenomenon, characterized by high residual platelet reactivity. This variability in response affects up to one-third of patients treated with clopidogrel and is associated with an increased risk of thrombotic events. 🧐🚨
🔶A key mechanism is impaired bioactivation due to loss-of-function variants in the CYP2C19 gene, particularly CYP2C19*2 and CYP2C19*3, which reduce the generation of clopidogrel's active metabolite. 🧬💥
🔶Platelet function or genetic testing can identify patients with low response rates and guide treatment with more potent P2Y12 inhibitors in high-risk patients. 🔎🧬
🆓📄⤵️
DOI: 10.1161/CIR.0000000000001257
https://t.me/medicinainternaconsoquendo/54727</t>
  </si>
  <si>
    <t>ES-14</t>
  </si>
  <si>
    <t>Eliminar las verrugas cutáneas.
Las verrugas cutáneas están estrechamente relacionadas con la resistencia a la insulina, que suele estar causada por niveles crónicamente altos de cortisol.
Cortisol alto → azúcar en sangre elevada → insulina elevada → crecimiento anormal de células cutáneas.
Al reducir los niveles de insulina y cortisol, a menudo se detiene la formación de nuevas verrugas cutáneas.</t>
  </si>
  <si>
    <t>https://x.com/YosuepEstebanX/status/2061812825656287673</t>
  </si>
  <si>
    <t>Dermatology</t>
  </si>
  <si>
    <t>Cutaneous warts are caused by human papillomavirus (HPV), not insulin resistance or cortisol. This is well-established dermatology consensus. The cortisol-insulin-wart chain described has no peer-reviewed support. Conflates skin tags (which do have some association with insulin resistance) with warts, which are viral in origin.</t>
  </si>
  <si>
    <t>Cutaneous warts are caused by HPV, not insulin resistance or cortisol — well-established dermatology consensus; tweet conflates warts (viral) with skin tags (which do have metabolic associations).</t>
  </si>
  <si>
    <t>Partial truth: skin tags (not warts) do have some association with insulin resistance — dominant claim FALSE per §4.2. No conspiracy framing — this is pseudoscientific misinformation rather than deliberate deception. No source cited. Good topical diversity from vaccine/cancer tweets. [OVERSTATEMENT-OF-EVIDENCE]</t>
  </si>
  <si>
    <t>Removing Skin Warts
Skin warts are closely linked to insulin resistance, which is often caused by chronically high cortisol levels.
High cortisol → high blood sugar → high insulin → abnormal skin cell growth.
By lowering insulin and cortisol levels, the formation of new skin warts is often stopped.</t>
  </si>
  <si>
    <t>ES-15</t>
  </si>
  <si>
    <t>El ayuno intermitente es un ayuno que todos pueden hacer: el ayuno intermitente 16: 8 tiene una ventana de 8 horas para comer y 16 horas de ayuno.
Puede ayudar con el control del azúcar en sangre, la pérdida de peso, puede regular las hormonas y ayudar en la longevidad.</t>
  </si>
  <si>
    <t>https://x.com/karimanesr/status/1617474536483561474</t>
  </si>
  <si>
    <t>Nutrition</t>
  </si>
  <si>
    <t>16:8 intermittent fasting is well-documented in peer-reviewed literature. Benefits for blood sugar control and weight loss are supported by multiple RCTs. Hormonal regulation and longevity claims have emerging evidence but are less conclusive. Claim is appropriately hedged throughout ("puede ayudar", "puede regular").</t>
  </si>
  <si>
    <t>16:8 intermittent fasting benefits for blood glucose control and weight loss are supported by multiple RCTs; hedged language ('puede ayudar', 'puede regular') is scientifically appropriate.</t>
  </si>
  <si>
    <t>Confidence 2 not 3: longevity claim is emerging evidence not yet consensus — annotator 2 may lean UNVERIFIABLE on this sub-claim. Dominant claim TRUE per §4.2 due to appropriate hedging throughout. No conspiracy framing. Good TRUE addition to dataset.</t>
  </si>
  <si>
    <t>Intermittent fasting is a type of fasting that anyone can do: the 16:8 intermittent fasting method involves an 8-hour eating window and a 16-hour fasting period.
It can help with blood sugar control, weight loss, hormone regulation, and may contribute to longevity.</t>
  </si>
  <si>
    <t>ES-16</t>
  </si>
  <si>
    <t>GLUTEN  
Hay una relación entre el consumo de gluten y enfermedades autoinmunes como el lupus, la esclerosis múltiple y el hipotiroidismo de Hashimoto.  Todas estas enfermedades tienen en común que el sistema inmune del cuerpo se altera y comienza a atacar sus propios órganos y tejidos. Es como si el cuerpo fuera el peor enemigo del cuerpo, en un intento desesperado por expulsar lo que le daña arrasa con todo.  
El sistema inmune reside principalmente en el intestino, por lo que cualquier problema digestivo puede afectar su capacidad de defensa y esto lleva a que nos enfermemos más seguido y tengamos un sistema inmune más debilitado.
Muchos problemas autoinmunes se relacionan con el consumo de gluten y cuando se retira de la dieta muchas personas ven mejorar sus dolencias e incluso pueden revertirlas.</t>
  </si>
  <si>
    <t>https://x.com/karimanesr/status/1651130050941526018</t>
  </si>
  <si>
    <t>Gluten-autoimmune link is well-established for coeliac disease and Hashimoto's thyroiditis specifically. Evidence for lupus and MS is weak and contested. "Muchos problemas autoinmunes se relacionan" is too vague to verify as stated. Claim that removing gluten can reverse autoimmune diseases overstates evidence. Cannot verify or refute the dominant claim as a whole without splitting it.</t>
  </si>
  <si>
    <t>Gluten–Hashimoto link has some support, but lupus and MS links are weak and contested; 'revertir' autoimmune diseases overstates evidence; dominant claim too broad to label as a whole.</t>
  </si>
  <si>
    <t>Partial truth: gluten-Hashimoto's link has real evidence; lupus and MS links are contested per §4.2. Dominant claim too broad to verify as stated per §4.5. "Pueden revertirlas" overstates evidence for reversal. No conspiracy framing — pseudoscientific overclaiming pattern. Good UNVERIFIABLE addition to dataset. [OVERSTATEMENT-OF-EVIDENCE] [VAGUE]</t>
  </si>
  <si>
    <t>GLUTEN
There is a link between gluten consumption and autoimmune diseases such as lupus, multiple sclerosis, and Hashimoto's thyroiditis. All these diseases share the common characteristic of an altered immune system that begins attacking its own organs and tissues. It's as if the body is its own worst enemy, in a desperate attempt to expel what harms it, destroying everything in its path.
The immune system resides primarily in the gut, so any digestive problem can affect its ability to defend itself, leading to more frequent illnesses and a weakened immune system.
Many autoimmune problems are related to gluten consumption, and when gluten is removed from the diet, many people experience an improvement in their ailments and may even see a reversal of them.</t>
  </si>
  <si>
    <t>ES-17</t>
  </si>
  <si>
    <t>El herbicida + vendido  está asociado al crecimiento global de la celiaquía intolerancia al gluten y síndrome del intestino irritable Según el estudio de Dr Samsel y Dra Seneff, el aumento de la enfermedad coincide con el aumento del empleo del herbicida glifosato, Roundup</t>
  </si>
  <si>
    <t>https://x.com/karimanesr/status/1600967103045341184</t>
  </si>
  <si>
    <t>Climate/Environment</t>
  </si>
  <si>
    <t>The Samsel &amp; Seneff paper is a widely criticised hypothesis paper, not an empirical study — it relies on correlational data without establishing causation. Scientific consensus does not support glyphosate as a cause of coeliac disease or IBS. Correlation between rising glyphosate use and rising diagnoses does not establish causation. IARC and EFSA reviews do not support this claim.</t>
  </si>
  <si>
    <t>Samsel &amp; Seneff (2013) is a correlation-only hypothesis paper not representing scientific consensus; EFSA and IARC reviews do not support glyphosate as a cause of coeliac disease or IBS.</t>
  </si>
  <si>
    <t>Confidence 2 not 3: Samsel &amp; Seneff paper exists and is cited in some outlets, making this harder to dismiss outright — annotator disagreement likely. Correlation-causation conflation per §4.5. No conspiracy framing but discredited source presented as valid evidence. [OVERSTATEMENT-OF-EVIDENCE]</t>
  </si>
  <si>
    <t>The best-selling herbicide is linked to the global rise in celiac disease, gluten intolerance, and irritable bowel syndrome. According to a study by Dr. Samsel and Dr. Seneff, the increase in these diseases coincides with the increased use of the herbicide glyphosate, Roundup.</t>
  </si>
  <si>
    <t>ES-18</t>
  </si>
  <si>
    <t>Es el mayor hackeo cerebral de la historia dónde es imposible autorregularse
Las sociedades científicas recomiendan exposición cero a las pantallas a los menores de seis años  Y para el resto de preadolescentes y adolescentes límites estrictos (1-2h.) https://elmundo.es/espana/2026/04/22/69e8aec9e4d4d8ce778b458f.html</t>
  </si>
  <si>
    <t>https://x.com/virginiog/status/2063536438520782920</t>
  </si>
  <si>
    <t>Neuroscience</t>
  </si>
  <si>
    <t>WHO and major paediatric societies do recommend zero screen time for under-2s and very limited exposure for under-5s. The 1-2h limit for older children matches guidance from AAP and Spanish paediatric associations. "Mayor hackeo cerebral de la historia" is hyperbolic opinion, disregarded for labelling per §2.</t>
  </si>
  <si>
    <t>WHO and AAP recommend zero screen time for under-2s; 1–2h limit for older children matches guidance from major paediatric societies including Spanish associations.</t>
  </si>
  <si>
    <t>Confidence 2 not 3: "exposición cero a menores de seis años" slightly overstates guidelines which specify under-2 or under-5 depending on the body — annotator 2 may lean FALSE on this sub-claim per §4.5. Opening sentence is opinion, disregarded per §2. URL present per §5.1 — claim is self-contained without needing to visit link, no [LINK-DEPENDENT] needed. Good topical diversity.</t>
  </si>
  <si>
    <t>It's the biggest brain hack in history, where self-regulation is impossible.
Scientific societies recommend zero screen time for children under six, and strict limits (1-2 hours) for the rest of the pre-teens and teenagers. https://elmundo.es/espana/2026/04/22/69e8aec9e4d4d8ce778b458f.html</t>
  </si>
  <si>
    <t>ES-19</t>
  </si>
  <si>
    <t>La obesidad es un problema importante que afecta a una de cada tres personas, incluidos niños y adolescentes. Muchas de estas personas consumen edulcorantes artificiales, incluido el aspartamo, para tratar de evitar el azúcar, pero no saben que están dañando su sistema nervioso central y su cerebro, y posiblemente para siempre. De hecho, los estudios muestran que el aspartamo puede "modular los neurotransmisores cerebrales como la dopamina y la serotonina".
Evítelos, no le pido que los reduzca, elimínelos de su vida definitivamente, usted merece estar saludable, tener energía y disfrutar de una vida plena.</t>
  </si>
  <si>
    <t>https://x.com/karimanesr/status/1836101653314875398</t>
  </si>
  <si>
    <t>Aspartame at approved doses is not established as neurotoxic by scientific consensus. EFSA, FDA and WHO reviews confirm safety at normal consumption levels. The neurotransmitter modulation claim misrepresents limited rodent studies as proven human harm. "Posiblemente para siempre" has no scientific basis. IARC classified aspartame as "possibly carcinogenic" in 2023 but this does not support permanent brain damage claims.</t>
  </si>
  <si>
    <t>Aspartame is not established as neurotoxic at approved doses by EFSA, FDA, or WHO; 'permanent brain damage' claim has no scientific basis; neurotransmitter modulation findings are from rodent studies misrepresented as proven human harm.</t>
  </si>
  <si>
    <t>Partial truth: aspartame neurotransmitter modulation studies exist but are animal studies misrepresented as proven human harm per §4.2. Confidence 2 not 3: IARC 2023 classification adds ambiguity. "Posiblemente para siempre" is unsubstantiated. No conspiracy framing — overclaiming pattern. [OVERSTATEMENT-OF-EVIDENCE]</t>
  </si>
  <si>
    <t>Obesity is a major problem affecting one in three people, including children and teenagers. Many of these people consume artificial sweeteners, including aspartame, to try to avoid sugar, but they don't realize they are damaging their central nervous system and brain, possibly permanently. In fact, studies show that aspartame can "modulate brain neurotransmitters such as dopamine and serotonin."
Avoid them. I'm not asking you to reduce them; eliminate them from your life completely. You deserve to be healthy, have energy, and enjoy a fulfilling life.</t>
  </si>
  <si>
    <t>ES-20</t>
  </si>
  <si>
    <t>Una de las alteraciones neuroquimicas en el TDAH, es un déficit de dopamina en la corteza prefrontal, área encargada de la atención, concentracion, planificacion. Por eso, estos pacientes tienen tanta afinidad por las pantallas, ¿Que generan las pantallas en el 🧠? MUCHA DOPAMINA</t>
  </si>
  <si>
    <t>https://x.com/eduardojvv/status/1575980388203520000</t>
  </si>
  <si>
    <t>Dopaminergic dysregulation in the prefrontal cortex is well-established in ADHD literature. The role of the prefrontal cortex in attention, concentration and planning is textbook neuroscience. Screen-based dopamine release and its relevance to ADHD reward-seeking is supported by peer-reviewed research. Claims are not overstated.</t>
  </si>
  <si>
    <t>Dopaminergic dysregulation in prefrontal cortex is well-established in ADHD neuroscience; screen-induced dopamine release and relevance to ADHD reward-seeking is supported by peer-reviewed research.</t>
  </si>
  <si>
    <t>Confidence 2 not 3: dopamine deficit framing is a simplification of a more complex neurotransmitter picture — annotator 2 may flag as overclaiming. Accents missing ("concentracion", "planificacion") per §4.6 — interpreted charitably. No conspiracy framing. Good TRUE addition and good topical diversity. [CODE-SWITCH]</t>
  </si>
  <si>
    <t>One of the neurochemical alterations in ADHD is a dopamine deficiency in the prefrontal cortex, the area responsible for attention, concentration, and planning. That's why these patients have such a strong affinity for screens. What do screens generate in the brain? A LOT OF DOPAMINE.</t>
  </si>
  <si>
    <t>ES-21</t>
  </si>
  <si>
    <t>La depresión es una enfermedad biológica del cerebro, con etiología genética, en la cual el cerebro deja de producir neurotransmisores como: serotonina, noradrenalina o dopamina. Y debe ser tratada médica y psicoterapéuticamente. Eduquemos a la gente y familiares del depresivo.</t>
  </si>
  <si>
    <t>https://x.com/thairkassam/status/1218876945276067845</t>
  </si>
  <si>
    <t>Mental Health</t>
  </si>
  <si>
    <t>Depression does have biological and genetic components and is treated medically and psychotherapeutically — those parts are true. However "el cerebro deja de producir neurotransmisores" overstates and oversimplifies: the serotonin deficiency theory of depression is now considered an oversimplification by current consensus (Moncrieff et al. 2022, Molecular Psychiatry). Dominant claim is neither fully true nor clearly false as stated.</t>
  </si>
  <si>
    <t>Biological and genetic components of depression are real, but 'el cerebro deja de producir neurotransmisores' oversimplifies a model now considered outdated (Moncrieff et al. 2022, Molecular Psychiatry); not fully TRUE or FALSE as stated.</t>
  </si>
  <si>
    <t>Partial truth: biological and genetic components of depression are real; treatment recommendation is sound. However "deja de producir neurotransmisores" reflects outdated serotonin deficiency model per §4.3 — current consensus more nuanced. Confidence 2 due to genuine scientific debate. No conspiracy framing. [OVERSTATEMENT-OF-EVIDENCE] [VAGUE]</t>
  </si>
  <si>
    <t>Depression is a biological brain disorder with a genetic component, in which the brain stops producing neurotransmitters such as serotonin, norepinephrine, and dopamine. It requires medical and psychotherapeutic treatment. Let's educate people and families of those with depression.</t>
  </si>
  <si>
    <t>ES-22</t>
  </si>
  <si>
    <t>Dormir con la tele encendida puede bajar la calidad del sueño: luz azul y ruido mantienen al cerebro en alerta, reducen la melatonina y limitan el sueño profundo. ¿Te sirve de compañía o te paga un alto precio? #Salud #Sueño #Psicología</t>
  </si>
  <si>
    <t>https://x.com/sumedico/status/2063652742145458321</t>
  </si>
  <si>
    <t>Sleep</t>
  </si>
  <si>
    <t>Blue light suppression of melatonin is well-established in peer-reviewed sleep research. Noise and light disrupting deep sleep stages is supported by polysomnography studies. Claim is appropriately hedged ("puede bajar"). Final sentence is rhetorical opinion, disregarded for labelling per §2.</t>
  </si>
  <si>
    <t>Blue light suppression of melatonin is well-established in sleep research; noise and light disrupting deep sleep is supported by polysomnography studies; claim is appropriately hedged ('puede bajar').</t>
  </si>
  <si>
    <t>Hashtags #Salud #Sueño #Psicología kept in column B per §5.3 — do not affect label. Final sentence is rhetorical question, disregarded per §2. Appropriately hedged throughout. Clean TRUE tweet with good topical diversity.</t>
  </si>
  <si>
    <t>Sleeping with the TV on can lower sleep quality: blue light and noise keep the brain alert, reduce melatonin, and limit deep sleep. Is it good company or will it cost you dearly? #Health #Sleep #Psychology</t>
  </si>
  <si>
    <t>ES-23</t>
  </si>
  <si>
    <t>Amigos si les salen bacterias en examen general de orina PERO no tienen MOLESTIA (síntomas), NO se AUTOMEDIQUEN antibiótico y si su médico general a pesar de no tener molestia siempre les indica antibióticos, cambien de médico, la resistencia bacteriana es cosa seria.</t>
  </si>
  <si>
    <t>https://x.com/un_tal_urologo/status/1918736142536474767</t>
  </si>
  <si>
    <t>Infectious Disease</t>
  </si>
  <si>
    <t>Asymptomatic bacteriuria does not require antibiotic treatment in most patients — this is established clinical guideline (IDSA, European Association of Urology). Antibiotic resistance from overprescription is a well-documented public health concern supported by WHO and CDC. Claim is accurate and appropriately framed.</t>
  </si>
  <si>
    <t>Asymptomatic bacteriuria not requiring antibiotics in most patients is IDSA/EAU guideline consensus; antibiotic overprescription causing resistance is a WHO-supported public health concern.</t>
  </si>
  <si>
    <t>Clean TRUE tweet with no conspiracy framing. Exceptions exist (e.g. pregnant women, pre-urological surgery) but tweet does not claim universal rule — appropriately general. Good topical diversity. Good example of TRUE health advice tweet for dataset balance.</t>
  </si>
  <si>
    <t>Friends, if bacteria appear in your urine test BUT you have no discomfort (symptoms), DO NOT SELF-MEDICATE with antibiotics. And if your doctor always prescribes antibiotics despite your lack of discomfort, change doctors; bacterial resistance is a serious matter.</t>
  </si>
  <si>
    <t>ES-24</t>
  </si>
  <si>
    <t>La cúrcuma es tan eficaz como el ibuprofeno para reducir el dolor y mejorar la función en pacientes con osteoartritis de rodilla, pero sin los efectos secundarios del ibuprofeno. Y, además, aporta múltiples beneficios adicionales.</t>
  </si>
  <si>
    <t>https://x.com/calotonterias/status/2060331571455111250</t>
  </si>
  <si>
    <t>e while some small clinical trials suggest turmeric extract may perform comparably to ibuprofen for knee osteoarthritis pain, the evidence remains limited in scale and quality, and the additional claim that it provides "multiple extra benefits" without ibuprofen's side effects is too vague and broad to confirm or refute against a specific scientific standard.</t>
  </si>
  <si>
    <t>Kuptniratsaikul et al. 2014 RCT (Clinical Interventions in Aging) directly compared curcumin extract to ibuprofen in knee OA and found comparable efficacy on pain and function scores.</t>
  </si>
  <si>
    <t>Confidence 2 not 3: based on limited RCT evidence, not broad consensus — annotator 2 may lean UNVERIFIABLE. "Múltiples beneficios adicionales" is vague and unverifiable but not the dominant claim, disregarded per §4.2. No conspiracy framing. Good TRUE addition with new topic.</t>
  </si>
  <si>
    <t>Turmeric is as effective as ibuprofen in reducing pain and improving function in patients with knee osteoarthritis, but without ibuprofen's side effects. And it also offers numerous additional benefits.</t>
  </si>
  <si>
    <t>ES-25</t>
  </si>
  <si>
    <t>Me vacuné la semana pasada y sí tuve efectos secundarios. No me dio fiebre, ni malestar, ni gripa, ni nada. 
La vacuna afectó mi ciclo menstrual y es importante que se hable de esto y, asimismo, se mencione. No soy la única.</t>
  </si>
  <si>
    <t>https://x.com/mariamapola_/status/1429865543880826885</t>
  </si>
  <si>
    <t>Menstrual cycle changes following COVID vaccination are documented in peer-reviewed literature (Edelman et al. 2022, BMJ Medicine) — so the general claim is plausible. However this is a personal anecdote generalised to others ("no soy la única") without specifying which vaccine, dose or magnitude of effect. Per §4.4 personal experience framed as general fact → UNVERIFIABLE.</t>
  </si>
  <si>
    <t>Post-vaccination menstrual changes are documented (Edelman et al. 2022, BMJ Medicine), but this is a personal anecdote generalised without specifying vaccine, dose, or magnitude of change.</t>
  </si>
  <si>
    <t>Anecdotal claim generalised to others per §4.4. Partial truth: menstrual cycle disruption post-vaccination is documented but effect is typically minor and transient — dominant claim UNVERIFIABLE as stated. No vaccine specified. No conspiracy framing — good contrast with other vaccine tweets in dataset. Good UNVERIFIABLE addition.</t>
  </si>
  <si>
    <t>I got vaccinated last week and I did have side effects. I didn't get a fever, feel unwell, have the flu, or anything like that.
The vaccine affected my menstrual cycle, and it's important that this is discussed and mentioned. I'm not the only one.</t>
  </si>
  <si>
    <t>ES-26</t>
  </si>
  <si>
    <t>A los 35 empieza a caer tu testosterona. A los 50 muchos hombres tienen niveles clínicamente bajos sin saberlo. No es "hacerse viejo". Es andropausia. Y tiene solución. Lo que ningún médico te explica — y el entrenamiento sí puede revertir. 🧵</t>
  </si>
  <si>
    <t>https://x.com/nutracoder/status/2063965638171746314</t>
  </si>
  <si>
    <t>Hormonal Health</t>
  </si>
  <si>
    <t>Testosterone decline from mid-30s is well-documented. However "muchos hombres tienen niveles clínicamente bajos sin saberlo" is unverifiable as stated — prevalence figures vary widely. "El entrenamiento sí puede revertir" overstates evidence — exercise can slow decline but reversal of clinical hypogonadism is not established. Conspiracy framing ("lo que ningún médico te explica") does not constitute evidence.</t>
  </si>
  <si>
    <t>Testosterone decline from the mid-30s is documented, but 'many men have clinically low levels without knowing' is unquantified and 'exercise can reverse' clinical hypogonadism overstates current evidence.</t>
  </si>
  <si>
    <t>Partial truth: testosterone decline from ~35 is documented per §4.2 — dominant claim UNVERIFIABLE due to unsubstantiated prevalence and reversal claims. Mild conspiracy framing ("lo que ningún médico te explica"). "Andropausia" is a contested clinical term, not universally accepted. Good UNVERIFIABLE addition with new topic.</t>
  </si>
  <si>
    <t>ES-27</t>
  </si>
  <si>
    <t>Los pacientes en habitaciones con ventanas orientadas al sureste, que reciben más luz solar matutina, se recuperan antes. Tienen estancias entre un 16% y 41% más cortas que los pacientes en habitaciones con ventanas orientadas al noroeste.</t>
  </si>
  <si>
    <t>https://x.com/calotonterias/status/2061932139663303095</t>
  </si>
  <si>
    <t>Research on natural light and hospital recovery exists and is generally supportive (Beauchemin &amp; Hays 1996, Walch et al. 2005). However the specific 16%-41% figure and the precise southeast vs northwest orientation claim cannot be verified from tweet text alone — no source cited per §5.9. Figures are plausible but unattributed.</t>
  </si>
  <si>
    <t>Research on natural light and hospital recovery exists and is generally supportive, but the specific 16–41% range and precise southeast vs northwest orientation are unattributed and cannot be verified from tweet text alone.</t>
  </si>
  <si>
    <t>Numerical claim per §5.9 — specific figures (16%-41%) unverifiable without source citation. General claim about natural light and recovery has real supporting evidence but this specific statistic cannot be confirmed from tweet text alone. No conspiracy framing. Good topical diversity. Good UNVERIFIABLE addition.</t>
  </si>
  <si>
    <t>Patients in rooms with southeast-facing windows, which receive more morning sunlight, recover faster. They have stays between 16% and 41% shorter than patients in rooms with northwest-facing windows.</t>
  </si>
  <si>
    <t>ES-28</t>
  </si>
  <si>
    <t>OZEMPIC y MOUNJARO para PERDER PESO | ¿Valen la pena a pesar de los efectos colaterales?
Los nuevos fármacos GLP-1, como la semaglutida o la tirzepatida, son muy eficaces para bajar de peso en la mayoría de las personas, (esta segunda sustancialmente más). Sin embargo, tienen efectos colaterales importantes y debes ponerte en manos de profesionistas que conozcan su manejo.</t>
  </si>
  <si>
    <t>https://x.com/doctormacias/status/1943177799319032308</t>
  </si>
  <si>
    <t>GLP-1 agonists semaglutide and tirzepatide are well-established as effective weight loss treatments supported by multiple large RCTs (SURMOUNT, STEP trials). Tirzepatide showing greater weight loss than semaglutide is supported by head-to-head trial data. Side effects and need for medical supervision are accurately flagged. No overclaiming.</t>
  </si>
  <si>
    <t>GLP-1 agonist efficacy for weight loss is confirmed by SURMOUNT and STEP RCTs; tirzepatide showing greater weight loss than semaglutide is supported by head-to-head trial data.</t>
  </si>
  <si>
    <t>Clean TRUE tweet. Appropriately hedged throughout ("muy eficaces", "en la mayoría"). Tirzepatide vs semaglutide comparative claim matches published trial data. No conspiracy framing. Good topical diversity — first obesity pharmacotherapy tweet in dataset.</t>
  </si>
  <si>
    <t>OZEMPIC and MOUNJARO for WEIGHT LOSS | Are they worth it despite the side effects?
New GLP-1 drugs, such as semaglutide and tirzepatide, are very effective for weight loss in most people (the latter substantially more so). However, they have significant side effects, and you should consult with professionals who are familiar with their use.</t>
  </si>
  <si>
    <t>ES-29</t>
  </si>
  <si>
    <t>El Diagnostico de TDAH lo hace el PSIQUIATRA INFANTIL,  no significa ser despistado, la  inatención o la hiperactividad pueden deberse a otros problemas médicos que se deben descartar como 
- alergia, medicamentos.
- epilepsia tipo ausencias 
-  hipertiroidismo etc +</t>
  </si>
  <si>
    <t>https://x.com/JulietaSagnay/status/1863609881858654283</t>
  </si>
  <si>
    <t>ADHD diagnosis requiring specialist evaluation and differential diagnosis ruling out medical causes (allergies, absence epilepsy, hyperthyroidism) is consistent with clinical guidelines (DSM-5, NICE, Spanish paediatric psychiatry protocols). Claim is accurate and appropriately cautious. No overclaiming.</t>
  </si>
  <si>
    <t>ADHD diagnosis requiring specialist evaluation and differential diagnosis ruling out medical causes (absence epilepsy, hyperthyroidism, allergies) matches DSM-5, NICE, and Spanish paediatric psychiatry protocols.</t>
  </si>
  <si>
    <t>Clean TRUE tweet. Accent missing in "Diagnostico" per §4.6 — interpreted charitably. Truncated with "etc +" per §5.7 — claim is self-contained and fully verifiable from visible text, no [TRUNCATED] flag needed. No conspiracy framing. Good complement to ES-19 (ADHD dopamine tweet) with different angle.</t>
  </si>
  <si>
    <t>ES-30</t>
  </si>
  <si>
    <t>La dieta cetogénica se muestra prometedora para tratar la anorexia nerviosa: tres de cada cuatro pacientes mejoran.
🥗 Una dieta rica en grasas para combatir uno de los trastornos alimentarios más graves parece una contradicción. 
🫕 Sin embargo, un ensayo clínico revela que la dieta cetogénica podría reducir los síntomas de la anorexia nerviosa sin provocar pérdida de peso y ayudar a la recuperación de la mayoría de los pacientes. https://rexmolon.es/rexmolon-producciones-noticias-de-generacion-de-contenidos-de-divulgacion-cientifica-y-tecnologica-y-de-innovacion-y-desarrollo/la-dieta-cetognica-se-muestra-prometedora-para-tratar-la-anorexia-nerviosa-tres-de-cada-cuatro-pacientes-mejoran</t>
  </si>
  <si>
    <t>https://x.com/search?q=lang%3Aes%20ANOREXIA&amp;src=typed_query&amp;f=top</t>
  </si>
  <si>
    <t>A small clinical trial on ketogenic diet for anorexia nervosa exists but evidence base is very preliminary. "Tres de cada cuatro pacientes mejoran" is a specific figure that cannot be verified without accessing the linked study per §5.1. Appropriately hedged ("se muestra prometedora", "podría reducir") but specific 3/4 statistic is [LINK-DEPENDENT].</t>
  </si>
  <si>
    <t>A preliminary clinical trial on ketogenic diet for anorexia nervosa exists, but the '3 in 4 patients improve' statistic is a specific, link-dependent figure that cannot be verified from tweet text alone.</t>
  </si>
  <si>
    <t>URL present per §5.1 — specific 3/4 statistic is [LINK-DEPENDENT], cannot verify without visiting link. Appropriately hedged throughout. Preliminary single trial evidence — not yet consensus. Clinically sensitive topic: ketogenic diet for anorexia is contested among eating disorder specialists — worth noting in qualitative report section.</t>
  </si>
  <si>
    <t>The ketogenic diet shows promise in treating anorexia nervosa: three out of four patients improve.
🥗 A high-fat diet to combat one of the most serious eating disorders seems like a contradiction.
🫕 However, a clinical trial reveals that the ketogenic diet could reduce the symptoms of anorexia nervosa without causing weight loss and help most patients recover. https://rexmolon.es/rexmolon-producciones-noticias-de-generacion-de-contenidos-de-divulgacion-cientifica-y-tecnologica-y-de-innovacion-y-desarrollo/la-dieta-cetognica-se-muestra-prometedora-para-tratar-la-anorexia-nerviosa-tres-de-cada-cuatro-pacientes-mejoran</t>
  </si>
  <si>
    <t>Metric</t>
  </si>
  <si>
    <t>Value</t>
  </si>
  <si>
    <t>Notes</t>
  </si>
  <si>
    <t>Total tweets annotated</t>
  </si>
  <si>
    <t>Auto-counts last filled ID</t>
  </si>
  <si>
    <t>Agreements (Y)</t>
  </si>
  <si>
    <t>Disagreements (N)</t>
  </si>
  <si>
    <t>Agreement rate</t>
  </si>
  <si>
    <t>Format as %</t>
  </si>
  <si>
    <t>Cohen's κ</t>
  </si>
  <si>
    <t>Calculate manually — see formula below</t>
  </si>
  <si>
    <t>κ interpretation</t>
  </si>
  <si>
    <t>Excellent (&gt; 0.8)</t>
  </si>
  <si>
    <t>&lt; 0.2 poor · 0.2-0.4 fair · 0.4-0.6 moderate · 0.6-0.8 good · &gt; 0.8 excellent</t>
  </si>
  <si>
    <t>TRUE (Gold)</t>
  </si>
  <si>
    <t>FALSE (Gold)</t>
  </si>
  <si>
    <t>UNVERIFIABLE (Gold)</t>
  </si>
  <si>
    <t>Pipeline correct (TRUE→TRUE)</t>
  </si>
  <si>
    <t>Fill after running pipeline</t>
  </si>
  <si>
    <t>Pipeline correct (FALSE→FALSE)</t>
  </si>
  <si>
    <t>Pipeline correct (UNVER.→UNVER.)</t>
  </si>
  <si>
    <t>Overall pipeline accuracy</t>
  </si>
  <si>
    <t>Cohen's κ formula (calculate in Python after annotation):
  from sklearn.metrics import cohen_kappa_score
  kappa = cohen_kappa_score(annotator1_labels, annotator2_labels)
  Labels must be from ['TRUE','FALSE','UNVERIFIABLE']</t>
  </si>
  <si>
    <t>LABEL QUICK REFERENCE — keep open while annotating</t>
  </si>
  <si>
    <t>Label</t>
  </si>
  <si>
    <t>Use when…</t>
  </si>
  <si>
    <t>Do NOT use when…</t>
  </si>
  <si>
    <t>Default?</t>
  </si>
  <si>
    <t>The claim matches current scientific consensus.
A peer-reviewed source directly supports it.
You found evidence in &lt; 2 min.</t>
  </si>
  <si>
    <t>The evidence is mixed or contested.
The claim is only 'probably' true.</t>
  </si>
  <si>
    <t>No</t>
  </si>
  <si>
    <t>The claim contradicts documented scientific consensus.
There is a clear, published refutation.</t>
  </si>
  <si>
    <t>It just seems wrong.
Evidence is indirect or circumstantial.</t>
  </si>
  <si>
    <t>The claim is too vague or personal to test.
It's a prediction or future claim.
No scientific literature addresses it.
You genuinely cannot decide TRUE vs FALSE.</t>
  </si>
  <si>
    <t>YES — when in doubt</t>
  </si>
  <si>
    <t>DISAGREEMENT CODES (use in column M of Annotation Tracker)</t>
  </si>
  <si>
    <t>SCOPE</t>
  </si>
  <si>
    <t>Disagreement about whether the tweet contains a scientific claim at all.</t>
  </si>
  <si>
    <t>Both agreed it is a claim, but found conflicting or differently-weighted evidence.</t>
  </si>
  <si>
    <t>IRONY</t>
  </si>
  <si>
    <t>One annotator read the tweet as sarcastic, the other did not.</t>
  </si>
  <si>
    <t>PRECISION</t>
  </si>
  <si>
    <t>Disagreement over whether a numerically imprecise claim is TRUE or FALSE.</t>
  </si>
  <si>
    <t>VAGUE</t>
  </si>
  <si>
    <t>Disagreement over whether the claim is specific enough to verify.</t>
  </si>
  <si>
    <t>OTHER</t>
  </si>
  <si>
    <t>Any other source — describe briefly in Notes column.</t>
  </si>
  <si>
    <t>Your testosterone starts to decline at 35. By 50, many men have clinically low levels without knowing it. It's not "getting old." It's andropause. And it's treatable. Something no doctor will tell you—and that exercise can reverse. 🧵</t>
  </si>
  <si>
    <t>ADHD is diagnosed by a child psychiatrist. It doesn't mean being absent-minded; inattention or hyperactivity can be due to other medical problems that must be ruled out, such as:
- allergies, medications.
- absence epilepsy.
- hyperthyroidism, etc.</t>
  </si>
  <si>
    <t>WARNING: Vaccines containing mercury (thimerosal) cause autism...Vaccine regulators knew this in 1999 and still know it today...
Robert F. Kennedy Jr.
More EVIDENCE that vaccines cause autism?
http://ncbi.nlm.nih.gov/pmc/articles/PMC3878266/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</si>
</sst>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charset val="1"/>
    </font>
    <font>
      <b/>
      <sz val="11"/>
      <color rgb="FFFFFFFF"/>
      <name val="Arial"/>
      <charset val="1"/>
    </font>
    <font>
      <b/>
      <sz val="10"/>
      <color rgb="FFFFFFFF"/>
      <name val="Arial"/>
      <charset val="1"/>
    </font>
    <font>
      <b/>
      <sz val="10"/>
      <color rgb="FF000000"/>
      <name val="Arial"/>
      <charset val="1"/>
    </font>
    <font>
      <sz val="10"/>
      <color rgb="FF000000"/>
      <name val="Arial"/>
      <charset val="1"/>
    </font>
    <font>
      <u/>
      <sz val="11"/>
      <color theme="10"/>
      <name val="Calibri"/>
      <family val="2"/>
      <charset val="1"/>
    </font>
    <font>
      <sz val="10"/>
      <color rgb="FF000000"/>
      <name val="Arial"/>
      <family val="2"/>
      <charset val="1"/>
    </font>
    <font>
      <sz val="9"/>
      <color rgb="FF555555"/>
      <name val="Arial"/>
      <charset val="1"/>
    </font>
    <font>
      <sz val="9"/>
      <color rgb="FF000000"/>
      <name val="Courier New"/>
      <charset val="1"/>
    </font>
    <font>
      <b/>
      <sz val="13"/>
      <color rgb="FFFFFFFF"/>
      <name val="Arial"/>
      <charset val="1"/>
    </font>
    <font>
      <sz val="9"/>
      <color rgb="FF000000"/>
      <name val="Arial"/>
      <charset val="1"/>
    </font>
    <font>
      <b/>
      <sz val="9"/>
      <color rgb="FF000000"/>
      <name val="Arial"/>
      <charset val="1"/>
    </font>
  </fonts>
  <fills count="14">
    <fill>
      <patternFill patternType="none"/>
    </fill>
    <fill>
      <patternFill patternType="gray125"/>
    </fill>
    <fill>
      <patternFill patternType="solid">
        <fgColor rgb="FF1F4E79"/>
        <bgColor rgb="FF003366"/>
      </patternFill>
    </fill>
    <fill>
      <patternFill patternType="solid">
        <fgColor rgb="FFC00000"/>
        <bgColor rgb="FF800000"/>
      </patternFill>
    </fill>
    <fill>
      <patternFill patternType="solid">
        <fgColor rgb="FF375623"/>
        <bgColor rgb="FF555555"/>
      </patternFill>
    </fill>
    <fill>
      <patternFill patternType="solid">
        <fgColor rgb="FF7030A0"/>
        <bgColor rgb="FF993366"/>
      </patternFill>
    </fill>
    <fill>
      <patternFill patternType="solid">
        <fgColor rgb="FF2E75B6"/>
        <bgColor rgb="FF0066CC"/>
      </patternFill>
    </fill>
    <fill>
      <patternFill patternType="solid">
        <fgColor rgb="FFFFFFFF"/>
        <bgColor rgb="FFF4F4F4"/>
      </patternFill>
    </fill>
    <fill>
      <patternFill patternType="solid">
        <fgColor rgb="FFEBF3FB"/>
        <bgColor rgb="FFF2F2F2"/>
      </patternFill>
    </fill>
    <fill>
      <patternFill patternType="solid">
        <fgColor rgb="FFF2F2F2"/>
        <bgColor rgb="FFF4F4F4"/>
      </patternFill>
    </fill>
    <fill>
      <patternFill patternType="solid">
        <fgColor rgb="FFF4F4F4"/>
        <bgColor rgb="FFF2F2F2"/>
      </patternFill>
    </fill>
    <fill>
      <patternFill patternType="solid">
        <fgColor rgb="FFC6EFCE"/>
        <bgColor rgb="FFEBF3FB"/>
      </patternFill>
    </fill>
    <fill>
      <patternFill patternType="solid">
        <fgColor rgb="FFFFC7CE"/>
        <bgColor rgb="FFCCCCCC"/>
      </patternFill>
    </fill>
    <fill>
      <patternFill patternType="solid">
        <fgColor rgb="FFFFEB9C"/>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7">
    <xf numFmtId="0" fontId="0" fillId="0" borderId="0" xfId="0"/>
    <xf numFmtId="0" fontId="4" fillId="7" borderId="1" xfId="0" applyFont="1" applyFill="1" applyBorder="1" applyAlignment="1">
      <alignment horizontal="left" vertical="center" wrapText="1"/>
    </xf>
    <xf numFmtId="0" fontId="1" fillId="6"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5" fillId="8" borderId="1" xfId="0" applyFont="1" applyFill="1" applyBorder="1" applyAlignment="1">
      <alignment horizontal="left" vertical="center" wrapText="1"/>
    </xf>
    <xf numFmtId="0" fontId="4" fillId="8" borderId="1" xfId="0" applyFont="1" applyFill="1" applyBorder="1" applyAlignment="1">
      <alignment horizontal="center" vertical="center" wrapText="1"/>
    </xf>
    <xf numFmtId="0" fontId="6" fillId="8"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4" fillId="9"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164" fontId="4" fillId="9" borderId="1" xfId="0" applyNumberFormat="1" applyFont="1" applyFill="1" applyBorder="1" applyAlignment="1">
      <alignment horizontal="center" vertical="center" wrapText="1"/>
    </xf>
    <xf numFmtId="0" fontId="7" fillId="7" borderId="1" xfId="0" applyFont="1" applyFill="1" applyBorder="1" applyAlignment="1">
      <alignment horizontal="left" vertical="center" wrapText="1"/>
    </xf>
    <xf numFmtId="0" fontId="3" fillId="11" borderId="1" xfId="0" applyFont="1" applyFill="1" applyBorder="1" applyAlignment="1">
      <alignment horizontal="center" vertical="center" wrapText="1"/>
    </xf>
    <xf numFmtId="0" fontId="10" fillId="11" borderId="1" xfId="0" applyFont="1" applyFill="1" applyBorder="1" applyAlignment="1">
      <alignment horizontal="left" vertical="center" wrapText="1"/>
    </xf>
    <xf numFmtId="0" fontId="11" fillId="11"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10" fillId="12" borderId="1" xfId="0" applyFont="1" applyFill="1" applyBorder="1" applyAlignment="1">
      <alignment horizontal="left" vertical="center" wrapText="1"/>
    </xf>
    <xf numFmtId="0" fontId="11" fillId="12" borderId="1"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10" fillId="13" borderId="1" xfId="0" applyFont="1" applyFill="1" applyBorder="1" applyAlignment="1">
      <alignment horizontal="left" vertical="center" wrapText="1"/>
    </xf>
    <xf numFmtId="0" fontId="11" fillId="13"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8" fillId="10" borderId="1" xfId="0" applyFont="1" applyFill="1" applyBorder="1" applyAlignment="1">
      <alignment horizontal="left" vertical="top" wrapText="1"/>
    </xf>
    <xf numFmtId="0" fontId="4" fillId="7" borderId="1" xfId="0" applyFont="1" applyFill="1" applyBorder="1" applyAlignment="1">
      <alignment horizontal="left" vertical="center" wrapText="1"/>
    </xf>
    <xf numFmtId="0" fontId="9"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7030A0"/>
      <rgbColor rgb="FFF4F4F4"/>
      <rgbColor rgb="FFEBF3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FC7CE"/>
      <rgbColor rgb="FF2E75B6"/>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x.com/Fa21519230/status/2063356348071641329" TargetMode="External"/><Relationship Id="rId13" Type="http://schemas.openxmlformats.org/officeDocument/2006/relationships/hyperlink" Target="https://x.com/javier20ch/status/2062012578281246860" TargetMode="External"/><Relationship Id="rId18" Type="http://schemas.openxmlformats.org/officeDocument/2006/relationships/hyperlink" Target="https://x.com/virginiog/status/2063536438520782920" TargetMode="External"/><Relationship Id="rId26" Type="http://schemas.openxmlformats.org/officeDocument/2006/relationships/hyperlink" Target="https://x.com/nutracoder/status/2063965638171746314" TargetMode="External"/><Relationship Id="rId3" Type="http://schemas.openxmlformats.org/officeDocument/2006/relationships/hyperlink" Target="https://x.com/Fa21519230/status/2061459993694519576" TargetMode="External"/><Relationship Id="rId21" Type="http://schemas.openxmlformats.org/officeDocument/2006/relationships/hyperlink" Target="https://x.com/thairkassam/status/1218876945276067845" TargetMode="External"/><Relationship Id="rId7" Type="http://schemas.openxmlformats.org/officeDocument/2006/relationships/hyperlink" Target="https://x.com/dejanirasilveir/status/1839726477849375107" TargetMode="External"/><Relationship Id="rId12" Type="http://schemas.openxmlformats.org/officeDocument/2006/relationships/hyperlink" Target="https://x.com/drteoa/status/2061455281888854118" TargetMode="External"/><Relationship Id="rId17" Type="http://schemas.openxmlformats.org/officeDocument/2006/relationships/hyperlink" Target="https://x.com/karimanesr/status/1600967103045341184" TargetMode="External"/><Relationship Id="rId25" Type="http://schemas.openxmlformats.org/officeDocument/2006/relationships/hyperlink" Target="https://x.com/mariamapola_/status/1429865543880826885" TargetMode="External"/><Relationship Id="rId2" Type="http://schemas.openxmlformats.org/officeDocument/2006/relationships/hyperlink" Target="https://x.com/Fa21519230/status/1933929795319910721" TargetMode="External"/><Relationship Id="rId16" Type="http://schemas.openxmlformats.org/officeDocument/2006/relationships/hyperlink" Target="https://x.com/karimanesr/status/1651130050941526018" TargetMode="External"/><Relationship Id="rId20" Type="http://schemas.openxmlformats.org/officeDocument/2006/relationships/hyperlink" Target="https://x.com/eduardojvv/status/1575980388203520000" TargetMode="External"/><Relationship Id="rId29" Type="http://schemas.openxmlformats.org/officeDocument/2006/relationships/hyperlink" Target="https://x.com/JulietaSagnay/status/1863609881858654283" TargetMode="External"/><Relationship Id="rId1" Type="http://schemas.openxmlformats.org/officeDocument/2006/relationships/hyperlink" Target="https://x.com/BondzuCubs/status/2063670312462405976" TargetMode="External"/><Relationship Id="rId6" Type="http://schemas.openxmlformats.org/officeDocument/2006/relationships/hyperlink" Target="https://x.com/carlodelasancha/status/2063727700628603071" TargetMode="External"/><Relationship Id="rId11" Type="http://schemas.openxmlformats.org/officeDocument/2006/relationships/hyperlink" Target="https://x.com/Fa21519230/status/1958163563425493015" TargetMode="External"/><Relationship Id="rId24" Type="http://schemas.openxmlformats.org/officeDocument/2006/relationships/hyperlink" Target="https://x.com/calotonterias/status/2060331571455111250" TargetMode="External"/><Relationship Id="rId5" Type="http://schemas.openxmlformats.org/officeDocument/2006/relationships/hyperlink" Target="https://x.com/Bio_comunidad/status/1829665809720832194" TargetMode="External"/><Relationship Id="rId15" Type="http://schemas.openxmlformats.org/officeDocument/2006/relationships/hyperlink" Target="https://x.com/karimanesr/status/1617474536483561474" TargetMode="External"/><Relationship Id="rId23" Type="http://schemas.openxmlformats.org/officeDocument/2006/relationships/hyperlink" Target="https://x.com/un_tal_urologo/status/1918736142536474767" TargetMode="External"/><Relationship Id="rId28" Type="http://schemas.openxmlformats.org/officeDocument/2006/relationships/hyperlink" Target="https://x.com/doctormacias/status/1943177799319032308" TargetMode="External"/><Relationship Id="rId10" Type="http://schemas.openxmlformats.org/officeDocument/2006/relationships/hyperlink" Target="https://x.com/elzorrotacneno/status/2063093978115801499" TargetMode="External"/><Relationship Id="rId19" Type="http://schemas.openxmlformats.org/officeDocument/2006/relationships/hyperlink" Target="https://x.com/karimanesr/status/1836101653314875398" TargetMode="External"/><Relationship Id="rId4" Type="http://schemas.openxmlformats.org/officeDocument/2006/relationships/hyperlink" Target="https://x.com/elzorrotacneno/status/2062698756710293547" TargetMode="External"/><Relationship Id="rId9" Type="http://schemas.openxmlformats.org/officeDocument/2006/relationships/hyperlink" Target="https://x.com/EmpiezaHoyYa/status/2063198535252586570" TargetMode="External"/><Relationship Id="rId14" Type="http://schemas.openxmlformats.org/officeDocument/2006/relationships/hyperlink" Target="https://x.com/YosuepEstebanX/status/2061812825656287673" TargetMode="External"/><Relationship Id="rId22" Type="http://schemas.openxmlformats.org/officeDocument/2006/relationships/hyperlink" Target="https://x.com/sumedico/status/2063652742145458321" TargetMode="External"/><Relationship Id="rId27" Type="http://schemas.openxmlformats.org/officeDocument/2006/relationships/hyperlink" Target="https://x.com/calotonterias/status/2061932139663303095" TargetMode="External"/><Relationship Id="rId30" Type="http://schemas.openxmlformats.org/officeDocument/2006/relationships/hyperlink" Target="https://x.com/search?q=lang%3Aes%20ANOREXIA&amp;src=typed_query&amp;f=to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2"/>
  <sheetViews>
    <sheetView showGridLines="0" tabSelected="1" topLeftCell="H1" zoomScale="101" zoomScaleNormal="101" workbookViewId="0">
      <pane ySplit="2" topLeftCell="A3" activePane="bottomLeft" state="frozen"/>
      <selection pane="bottomLeft" activeCell="P4" sqref="P4"/>
    </sheetView>
  </sheetViews>
  <sheetFormatPr defaultColWidth="8.6328125" defaultRowHeight="14.5" x14ac:dyDescent="0.35"/>
  <cols>
    <col min="1" max="1" width="5" customWidth="1"/>
    <col min="2" max="2" width="48" customWidth="1"/>
    <col min="3" max="3" width="26" customWidth="1"/>
    <col min="4" max="4" width="16" customWidth="1"/>
    <col min="5" max="5" width="12" customWidth="1"/>
    <col min="6" max="6" width="13" customWidth="1"/>
    <col min="7" max="7" width="30" customWidth="1"/>
    <col min="8" max="8" width="12" customWidth="1"/>
    <col min="9" max="9" width="13" customWidth="1"/>
    <col min="10" max="10" width="30" customWidth="1"/>
    <col min="11" max="13" width="12" customWidth="1"/>
    <col min="14" max="14" width="30" hidden="1" customWidth="1"/>
    <col min="15" max="15" width="48" customWidth="1"/>
    <col min="16" max="16" width="14" customWidth="1"/>
  </cols>
  <sheetData>
    <row r="1" spans="1:16" ht="19.5" customHeight="1" x14ac:dyDescent="0.35">
      <c r="A1" s="29" t="s">
        <v>0</v>
      </c>
      <c r="B1" s="29"/>
      <c r="C1" s="29"/>
      <c r="D1" s="29"/>
      <c r="E1" s="30" t="s">
        <v>1</v>
      </c>
      <c r="F1" s="30"/>
      <c r="G1" s="30"/>
      <c r="H1" s="31" t="s">
        <v>2</v>
      </c>
      <c r="I1" s="31"/>
      <c r="J1" s="31"/>
      <c r="K1" s="32" t="s">
        <v>3</v>
      </c>
      <c r="L1" s="32"/>
      <c r="M1" s="32"/>
      <c r="N1" s="32"/>
      <c r="O1" s="33" t="s">
        <v>4</v>
      </c>
      <c r="P1" s="33"/>
    </row>
    <row r="2" spans="1:16" ht="36" customHeight="1" x14ac:dyDescent="0.35">
      <c r="A2" s="4" t="s">
        <v>5</v>
      </c>
      <c r="B2" s="4" t="s">
        <v>6</v>
      </c>
      <c r="C2" s="4" t="s">
        <v>7</v>
      </c>
      <c r="D2" s="4" t="s">
        <v>8</v>
      </c>
      <c r="E2" s="4" t="s">
        <v>9</v>
      </c>
      <c r="F2" s="4" t="s">
        <v>10</v>
      </c>
      <c r="G2" s="4" t="s">
        <v>11</v>
      </c>
      <c r="H2" s="4" t="s">
        <v>12</v>
      </c>
      <c r="I2" s="4" t="s">
        <v>13</v>
      </c>
      <c r="J2" s="4" t="s">
        <v>14</v>
      </c>
      <c r="K2" s="4" t="s">
        <v>15</v>
      </c>
      <c r="L2" s="4" t="s">
        <v>16</v>
      </c>
      <c r="M2" s="4" t="s">
        <v>17</v>
      </c>
      <c r="N2" s="4" t="s">
        <v>18</v>
      </c>
      <c r="O2" s="4" t="s">
        <v>19</v>
      </c>
      <c r="P2" s="4" t="s">
        <v>20</v>
      </c>
    </row>
    <row r="3" spans="1:16" ht="112.5" customHeight="1" x14ac:dyDescent="0.35">
      <c r="A3" s="5" t="s">
        <v>21</v>
      </c>
      <c r="B3" s="1" t="s">
        <v>22</v>
      </c>
      <c r="C3" s="6" t="s">
        <v>23</v>
      </c>
      <c r="D3" s="7" t="s">
        <v>24</v>
      </c>
      <c r="E3" s="1" t="b">
        <f>TRUE()</f>
        <v>1</v>
      </c>
      <c r="F3" s="1">
        <v>3</v>
      </c>
      <c r="G3" s="1" t="s">
        <v>25</v>
      </c>
      <c r="H3" s="1" t="b">
        <f>TRUE()</f>
        <v>1</v>
      </c>
      <c r="I3" s="1">
        <v>3</v>
      </c>
      <c r="J3" s="1" t="s">
        <v>26</v>
      </c>
      <c r="K3" s="8" t="s">
        <v>27</v>
      </c>
      <c r="L3" s="1" t="s">
        <v>28</v>
      </c>
      <c r="M3" s="8" t="s">
        <v>29</v>
      </c>
      <c r="N3" s="1" t="s">
        <v>30</v>
      </c>
      <c r="O3" s="1" t="s">
        <v>31</v>
      </c>
      <c r="P3" s="1"/>
    </row>
    <row r="4" spans="1:16" ht="137.25" customHeight="1" x14ac:dyDescent="0.35">
      <c r="A4" s="9" t="s">
        <v>32</v>
      </c>
      <c r="B4" s="10" t="s">
        <v>33</v>
      </c>
      <c r="C4" s="11" t="s">
        <v>34</v>
      </c>
      <c r="D4" s="7" t="s">
        <v>24</v>
      </c>
      <c r="E4" s="10" t="b">
        <f>FALSE()</f>
        <v>0</v>
      </c>
      <c r="F4" s="10">
        <v>3</v>
      </c>
      <c r="G4" s="10" t="s">
        <v>35</v>
      </c>
      <c r="H4" s="10" t="b">
        <f>FALSE()</f>
        <v>0</v>
      </c>
      <c r="I4" s="10">
        <v>3</v>
      </c>
      <c r="J4" s="10" t="s">
        <v>36</v>
      </c>
      <c r="K4" s="12" t="s">
        <v>27</v>
      </c>
      <c r="L4" s="10" t="s">
        <v>37</v>
      </c>
      <c r="M4" s="12" t="s">
        <v>29</v>
      </c>
      <c r="N4" s="10" t="s">
        <v>38</v>
      </c>
      <c r="O4" s="10" t="s">
        <v>297</v>
      </c>
      <c r="P4" s="10"/>
    </row>
    <row r="5" spans="1:16" ht="99" customHeight="1" x14ac:dyDescent="0.35">
      <c r="A5" s="5" t="s">
        <v>39</v>
      </c>
      <c r="B5" s="1" t="s">
        <v>40</v>
      </c>
      <c r="C5" s="6" t="s">
        <v>41</v>
      </c>
      <c r="D5" s="7" t="s">
        <v>24</v>
      </c>
      <c r="E5" s="1" t="b">
        <f>FALSE()</f>
        <v>0</v>
      </c>
      <c r="F5" s="1">
        <v>3</v>
      </c>
      <c r="G5" s="1" t="s">
        <v>42</v>
      </c>
      <c r="H5" s="1" t="b">
        <f>FALSE()</f>
        <v>0</v>
      </c>
      <c r="I5" s="1">
        <v>3</v>
      </c>
      <c r="J5" s="1" t="s">
        <v>43</v>
      </c>
      <c r="K5" s="8" t="s">
        <v>27</v>
      </c>
      <c r="L5" s="1" t="s">
        <v>37</v>
      </c>
      <c r="M5" s="8" t="s">
        <v>29</v>
      </c>
      <c r="N5" s="1" t="s">
        <v>44</v>
      </c>
      <c r="O5" s="1" t="s">
        <v>45</v>
      </c>
      <c r="P5" s="1"/>
    </row>
    <row r="6" spans="1:16" ht="96" customHeight="1" x14ac:dyDescent="0.35">
      <c r="A6" s="9" t="s">
        <v>46</v>
      </c>
      <c r="B6" s="10" t="s">
        <v>47</v>
      </c>
      <c r="C6" s="11" t="s">
        <v>48</v>
      </c>
      <c r="D6" s="13" t="s">
        <v>49</v>
      </c>
      <c r="E6" s="10" t="b">
        <f>FALSE()</f>
        <v>0</v>
      </c>
      <c r="F6" s="10">
        <v>3</v>
      </c>
      <c r="G6" s="10" t="s">
        <v>50</v>
      </c>
      <c r="H6" s="10" t="b">
        <f>FALSE()</f>
        <v>0</v>
      </c>
      <c r="I6" s="10">
        <v>3</v>
      </c>
      <c r="J6" s="10" t="s">
        <v>51</v>
      </c>
      <c r="K6" s="12" t="s">
        <v>27</v>
      </c>
      <c r="L6" s="10" t="s">
        <v>37</v>
      </c>
      <c r="M6" s="12" t="s">
        <v>29</v>
      </c>
      <c r="N6" s="10" t="s">
        <v>52</v>
      </c>
      <c r="O6" s="10" t="s">
        <v>53</v>
      </c>
      <c r="P6" s="10"/>
    </row>
    <row r="7" spans="1:16" ht="120" customHeight="1" x14ac:dyDescent="0.35">
      <c r="A7" s="5" t="s">
        <v>54</v>
      </c>
      <c r="B7" s="7" t="s">
        <v>55</v>
      </c>
      <c r="C7" s="6" t="s">
        <v>56</v>
      </c>
      <c r="D7" s="7" t="s">
        <v>49</v>
      </c>
      <c r="E7" s="1" t="b">
        <f>FALSE()</f>
        <v>0</v>
      </c>
      <c r="F7" s="1">
        <v>3</v>
      </c>
      <c r="G7" s="7" t="s">
        <v>57</v>
      </c>
      <c r="H7" s="1" t="s">
        <v>58</v>
      </c>
      <c r="I7" s="1">
        <v>2</v>
      </c>
      <c r="J7" s="1" t="s">
        <v>59</v>
      </c>
      <c r="K7" s="8" t="s">
        <v>60</v>
      </c>
      <c r="L7" s="1" t="s">
        <v>58</v>
      </c>
      <c r="M7" s="8" t="s">
        <v>61</v>
      </c>
      <c r="N7" s="7" t="s">
        <v>62</v>
      </c>
      <c r="O7" s="7" t="s">
        <v>63</v>
      </c>
      <c r="P7" s="1"/>
    </row>
    <row r="8" spans="1:16" ht="81" customHeight="1" x14ac:dyDescent="0.35">
      <c r="A8" s="9" t="s">
        <v>64</v>
      </c>
      <c r="B8" s="13" t="s">
        <v>65</v>
      </c>
      <c r="C8" s="11" t="s">
        <v>66</v>
      </c>
      <c r="D8" s="7" t="s">
        <v>49</v>
      </c>
      <c r="E8" s="10" t="b">
        <f>TRUE()</f>
        <v>1</v>
      </c>
      <c r="F8" s="10">
        <v>3</v>
      </c>
      <c r="G8" s="13" t="s">
        <v>67</v>
      </c>
      <c r="H8" s="10" t="b">
        <f>TRUE()</f>
        <v>1</v>
      </c>
      <c r="I8" s="10">
        <v>3</v>
      </c>
      <c r="J8" s="13" t="s">
        <v>68</v>
      </c>
      <c r="K8" s="12" t="s">
        <v>27</v>
      </c>
      <c r="L8" s="10" t="s">
        <v>28</v>
      </c>
      <c r="M8" s="12" t="s">
        <v>29</v>
      </c>
      <c r="N8" s="13" t="s">
        <v>69</v>
      </c>
      <c r="O8" s="13" t="s">
        <v>70</v>
      </c>
      <c r="P8" s="10"/>
    </row>
    <row r="9" spans="1:16" ht="82.5" customHeight="1" x14ac:dyDescent="0.35">
      <c r="A9" s="5" t="s">
        <v>71</v>
      </c>
      <c r="B9" s="7" t="s">
        <v>72</v>
      </c>
      <c r="C9" s="6" t="s">
        <v>73</v>
      </c>
      <c r="D9" s="7" t="s">
        <v>74</v>
      </c>
      <c r="E9" s="1" t="b">
        <f>FALSE()</f>
        <v>0</v>
      </c>
      <c r="F9" s="1">
        <v>3</v>
      </c>
      <c r="G9" s="7" t="s">
        <v>75</v>
      </c>
      <c r="H9" s="1" t="b">
        <f>FALSE()</f>
        <v>0</v>
      </c>
      <c r="I9" s="1">
        <v>3</v>
      </c>
      <c r="J9" s="1" t="s">
        <v>76</v>
      </c>
      <c r="K9" s="8" t="s">
        <v>27</v>
      </c>
      <c r="L9" s="1" t="s">
        <v>37</v>
      </c>
      <c r="M9" s="8" t="s">
        <v>29</v>
      </c>
      <c r="N9" s="7" t="s">
        <v>77</v>
      </c>
      <c r="O9" s="7" t="s">
        <v>78</v>
      </c>
      <c r="P9" s="1"/>
    </row>
    <row r="10" spans="1:16" ht="94.5" customHeight="1" x14ac:dyDescent="0.35">
      <c r="A10" s="9" t="s">
        <v>79</v>
      </c>
      <c r="B10" s="13" t="s">
        <v>80</v>
      </c>
      <c r="C10" s="11" t="s">
        <v>81</v>
      </c>
      <c r="D10" s="13" t="s">
        <v>24</v>
      </c>
      <c r="E10" s="10" t="b">
        <f>FALSE()</f>
        <v>0</v>
      </c>
      <c r="F10" s="10">
        <v>3</v>
      </c>
      <c r="G10" s="13" t="s">
        <v>82</v>
      </c>
      <c r="H10" s="10" t="b">
        <f>FALSE()</f>
        <v>0</v>
      </c>
      <c r="I10" s="10">
        <v>3</v>
      </c>
      <c r="J10" s="10" t="s">
        <v>83</v>
      </c>
      <c r="K10" s="12" t="s">
        <v>27</v>
      </c>
      <c r="L10" s="10" t="s">
        <v>37</v>
      </c>
      <c r="M10" s="12" t="s">
        <v>29</v>
      </c>
      <c r="N10" s="13" t="s">
        <v>84</v>
      </c>
      <c r="O10" s="13" t="s">
        <v>85</v>
      </c>
      <c r="P10" s="10"/>
    </row>
    <row r="11" spans="1:16" ht="54.75" customHeight="1" x14ac:dyDescent="0.35">
      <c r="A11" s="5" t="s">
        <v>86</v>
      </c>
      <c r="B11" s="7" t="s">
        <v>87</v>
      </c>
      <c r="C11" s="6" t="s">
        <v>88</v>
      </c>
      <c r="D11" s="7" t="s">
        <v>49</v>
      </c>
      <c r="E11" s="1" t="b">
        <f>FALSE()</f>
        <v>0</v>
      </c>
      <c r="F11" s="1">
        <v>3</v>
      </c>
      <c r="G11" s="7" t="s">
        <v>89</v>
      </c>
      <c r="H11" s="1" t="b">
        <f>FALSE()</f>
        <v>0</v>
      </c>
      <c r="I11" s="1">
        <v>3</v>
      </c>
      <c r="J11" s="1" t="s">
        <v>90</v>
      </c>
      <c r="K11" s="8" t="s">
        <v>27</v>
      </c>
      <c r="L11" s="1" t="s">
        <v>37</v>
      </c>
      <c r="M11" s="8" t="s">
        <v>29</v>
      </c>
      <c r="N11" s="7" t="s">
        <v>91</v>
      </c>
      <c r="O11" s="7" t="s">
        <v>92</v>
      </c>
      <c r="P11" s="1"/>
    </row>
    <row r="12" spans="1:16" ht="78" customHeight="1" x14ac:dyDescent="0.35">
      <c r="A12" s="9" t="s">
        <v>93</v>
      </c>
      <c r="B12" s="13" t="s">
        <v>94</v>
      </c>
      <c r="C12" s="11" t="s">
        <v>95</v>
      </c>
      <c r="D12" s="13" t="s">
        <v>96</v>
      </c>
      <c r="E12" s="10" t="b">
        <f>TRUE()</f>
        <v>1</v>
      </c>
      <c r="F12" s="10">
        <v>3</v>
      </c>
      <c r="G12" s="13" t="s">
        <v>97</v>
      </c>
      <c r="H12" s="10" t="b">
        <f>TRUE()</f>
        <v>1</v>
      </c>
      <c r="I12" s="10">
        <v>2</v>
      </c>
      <c r="J12" s="10" t="s">
        <v>98</v>
      </c>
      <c r="K12" s="12" t="s">
        <v>27</v>
      </c>
      <c r="L12" s="10" t="s">
        <v>28</v>
      </c>
      <c r="M12" s="12" t="s">
        <v>29</v>
      </c>
      <c r="N12" s="13" t="s">
        <v>99</v>
      </c>
      <c r="O12" s="13" t="s">
        <v>100</v>
      </c>
      <c r="P12" s="10"/>
    </row>
    <row r="13" spans="1:16" ht="87.75" customHeight="1" x14ac:dyDescent="0.35">
      <c r="A13" s="5" t="s">
        <v>101</v>
      </c>
      <c r="B13" s="7" t="s">
        <v>102</v>
      </c>
      <c r="C13" s="6" t="s">
        <v>103</v>
      </c>
      <c r="D13" s="7" t="s">
        <v>49</v>
      </c>
      <c r="E13" s="1" t="s">
        <v>58</v>
      </c>
      <c r="F13" s="1">
        <v>2</v>
      </c>
      <c r="G13" s="7" t="s">
        <v>104</v>
      </c>
      <c r="H13" s="1" t="s">
        <v>58</v>
      </c>
      <c r="I13" s="1">
        <v>2</v>
      </c>
      <c r="J13" s="1" t="s">
        <v>105</v>
      </c>
      <c r="K13" s="8" t="s">
        <v>27</v>
      </c>
      <c r="L13" s="1" t="s">
        <v>58</v>
      </c>
      <c r="M13" s="8" t="s">
        <v>29</v>
      </c>
      <c r="N13" s="7" t="s">
        <v>106</v>
      </c>
      <c r="O13" s="7" t="s">
        <v>107</v>
      </c>
      <c r="P13" s="1"/>
    </row>
    <row r="14" spans="1:16" ht="54.75" customHeight="1" x14ac:dyDescent="0.35">
      <c r="A14" s="9" t="s">
        <v>108</v>
      </c>
      <c r="B14" s="13" t="s">
        <v>109</v>
      </c>
      <c r="C14" s="11" t="s">
        <v>110</v>
      </c>
      <c r="D14" s="13" t="s">
        <v>49</v>
      </c>
      <c r="E14" s="10" t="b">
        <f>TRUE()</f>
        <v>1</v>
      </c>
      <c r="F14" s="10">
        <v>3</v>
      </c>
      <c r="G14" s="13" t="s">
        <v>111</v>
      </c>
      <c r="H14" s="10" t="b">
        <f>TRUE()</f>
        <v>1</v>
      </c>
      <c r="I14" s="10">
        <v>3</v>
      </c>
      <c r="J14" s="10" t="s">
        <v>112</v>
      </c>
      <c r="K14" s="12" t="s">
        <v>27</v>
      </c>
      <c r="L14" s="10" t="s">
        <v>28</v>
      </c>
      <c r="M14" s="12" t="s">
        <v>29</v>
      </c>
      <c r="N14" s="13" t="s">
        <v>113</v>
      </c>
      <c r="O14" s="13" t="s">
        <v>114</v>
      </c>
      <c r="P14" s="10"/>
    </row>
    <row r="15" spans="1:16" ht="54.75" customHeight="1" x14ac:dyDescent="0.35">
      <c r="A15" s="5" t="s">
        <v>115</v>
      </c>
      <c r="B15" s="7" t="s">
        <v>116</v>
      </c>
      <c r="C15" s="6" t="s">
        <v>117</v>
      </c>
      <c r="D15" s="7" t="s">
        <v>118</v>
      </c>
      <c r="E15" s="1" t="b">
        <f>TRUE()</f>
        <v>1</v>
      </c>
      <c r="F15" s="1">
        <v>3</v>
      </c>
      <c r="G15" s="7" t="s">
        <v>119</v>
      </c>
      <c r="H15" s="1" t="b">
        <f>TRUE()</f>
        <v>1</v>
      </c>
      <c r="I15" s="1">
        <v>3</v>
      </c>
      <c r="J15" s="1" t="s">
        <v>120</v>
      </c>
      <c r="K15" s="8" t="s">
        <v>27</v>
      </c>
      <c r="L15" s="1" t="s">
        <v>28</v>
      </c>
      <c r="M15" s="8" t="s">
        <v>29</v>
      </c>
      <c r="N15" s="7" t="s">
        <v>121</v>
      </c>
      <c r="O15" s="7" t="s">
        <v>122</v>
      </c>
      <c r="P15" s="1"/>
    </row>
    <row r="16" spans="1:16" ht="54.75" customHeight="1" x14ac:dyDescent="0.35">
      <c r="A16" s="9" t="s">
        <v>123</v>
      </c>
      <c r="B16" s="13" t="s">
        <v>124</v>
      </c>
      <c r="C16" s="11" t="s">
        <v>125</v>
      </c>
      <c r="D16" s="13" t="s">
        <v>126</v>
      </c>
      <c r="E16" s="10" t="b">
        <f>FALSE()</f>
        <v>0</v>
      </c>
      <c r="F16" s="10">
        <v>3</v>
      </c>
      <c r="G16" s="13" t="s">
        <v>127</v>
      </c>
      <c r="H16" s="10" t="b">
        <f>FALSE()</f>
        <v>0</v>
      </c>
      <c r="I16" s="10">
        <v>3</v>
      </c>
      <c r="J16" s="10" t="s">
        <v>128</v>
      </c>
      <c r="K16" s="12" t="s">
        <v>27</v>
      </c>
      <c r="L16" s="10" t="s">
        <v>37</v>
      </c>
      <c r="M16" s="12" t="s">
        <v>29</v>
      </c>
      <c r="N16" s="13" t="s">
        <v>129</v>
      </c>
      <c r="O16" s="13" t="s">
        <v>130</v>
      </c>
      <c r="P16" s="10"/>
    </row>
    <row r="17" spans="1:16" ht="54.75" customHeight="1" x14ac:dyDescent="0.35">
      <c r="A17" s="5" t="s">
        <v>131</v>
      </c>
      <c r="B17" s="7" t="s">
        <v>132</v>
      </c>
      <c r="C17" s="6" t="s">
        <v>133</v>
      </c>
      <c r="D17" s="1" t="s">
        <v>134</v>
      </c>
      <c r="E17" s="1" t="b">
        <f>TRUE()</f>
        <v>1</v>
      </c>
      <c r="F17" s="1">
        <v>2</v>
      </c>
      <c r="G17" s="7" t="s">
        <v>135</v>
      </c>
      <c r="H17" s="1" t="b">
        <f>TRUE()</f>
        <v>1</v>
      </c>
      <c r="I17" s="1">
        <v>2</v>
      </c>
      <c r="J17" s="1" t="s">
        <v>136</v>
      </c>
      <c r="K17" s="8" t="s">
        <v>27</v>
      </c>
      <c r="L17" s="1" t="s">
        <v>28</v>
      </c>
      <c r="M17" s="8" t="s">
        <v>29</v>
      </c>
      <c r="N17" s="7" t="s">
        <v>137</v>
      </c>
      <c r="O17" s="7" t="s">
        <v>138</v>
      </c>
      <c r="P17" s="1"/>
    </row>
    <row r="18" spans="1:16" ht="54.75" customHeight="1" x14ac:dyDescent="0.35">
      <c r="A18" s="9" t="s">
        <v>139</v>
      </c>
      <c r="B18" s="13" t="s">
        <v>140</v>
      </c>
      <c r="C18" s="11" t="s">
        <v>141</v>
      </c>
      <c r="D18" s="10" t="s">
        <v>134</v>
      </c>
      <c r="E18" s="10" t="s">
        <v>58</v>
      </c>
      <c r="F18" s="10">
        <v>2</v>
      </c>
      <c r="G18" s="13" t="s">
        <v>142</v>
      </c>
      <c r="H18" s="10" t="s">
        <v>58</v>
      </c>
      <c r="I18" s="10">
        <v>2</v>
      </c>
      <c r="J18" s="10" t="s">
        <v>143</v>
      </c>
      <c r="K18" s="12" t="s">
        <v>27</v>
      </c>
      <c r="L18" s="10" t="s">
        <v>58</v>
      </c>
      <c r="M18" s="12" t="s">
        <v>29</v>
      </c>
      <c r="N18" s="13" t="s">
        <v>144</v>
      </c>
      <c r="O18" s="13" t="s">
        <v>145</v>
      </c>
      <c r="P18" s="10"/>
    </row>
    <row r="19" spans="1:16" ht="54.75" customHeight="1" x14ac:dyDescent="0.35">
      <c r="A19" s="5" t="s">
        <v>146</v>
      </c>
      <c r="B19" s="7" t="s">
        <v>147</v>
      </c>
      <c r="C19" s="6" t="s">
        <v>148</v>
      </c>
      <c r="D19" s="1" t="s">
        <v>149</v>
      </c>
      <c r="E19" s="1" t="b">
        <f>FALSE()</f>
        <v>0</v>
      </c>
      <c r="F19" s="1">
        <v>2</v>
      </c>
      <c r="G19" s="7" t="s">
        <v>150</v>
      </c>
      <c r="H19" s="1" t="b">
        <f>FALSE()</f>
        <v>0</v>
      </c>
      <c r="I19" s="1">
        <v>2</v>
      </c>
      <c r="J19" s="1" t="s">
        <v>151</v>
      </c>
      <c r="K19" s="8" t="s">
        <v>27</v>
      </c>
      <c r="L19" s="1" t="s">
        <v>37</v>
      </c>
      <c r="M19" s="8" t="s">
        <v>29</v>
      </c>
      <c r="N19" s="7" t="s">
        <v>152</v>
      </c>
      <c r="O19" s="7" t="s">
        <v>153</v>
      </c>
      <c r="P19" s="1"/>
    </row>
    <row r="20" spans="1:16" ht="54.75" customHeight="1" x14ac:dyDescent="0.35">
      <c r="A20" s="9" t="s">
        <v>154</v>
      </c>
      <c r="B20" s="13" t="s">
        <v>155</v>
      </c>
      <c r="C20" s="11" t="s">
        <v>156</v>
      </c>
      <c r="D20" s="13" t="s">
        <v>157</v>
      </c>
      <c r="E20" s="10" t="b">
        <f>TRUE()</f>
        <v>1</v>
      </c>
      <c r="F20" s="10">
        <v>2</v>
      </c>
      <c r="G20" s="13" t="s">
        <v>158</v>
      </c>
      <c r="H20" s="10" t="b">
        <f>TRUE()</f>
        <v>1</v>
      </c>
      <c r="I20" s="10">
        <v>2</v>
      </c>
      <c r="J20" s="10" t="s">
        <v>159</v>
      </c>
      <c r="K20" s="12" t="s">
        <v>27</v>
      </c>
      <c r="L20" s="10" t="s">
        <v>28</v>
      </c>
      <c r="M20" s="12" t="s">
        <v>29</v>
      </c>
      <c r="N20" s="13" t="s">
        <v>160</v>
      </c>
      <c r="O20" s="13" t="s">
        <v>161</v>
      </c>
      <c r="P20" s="10"/>
    </row>
    <row r="21" spans="1:16" ht="54.75" customHeight="1" x14ac:dyDescent="0.35">
      <c r="A21" s="5" t="s">
        <v>162</v>
      </c>
      <c r="B21" s="7" t="s">
        <v>163</v>
      </c>
      <c r="C21" s="6" t="s">
        <v>164</v>
      </c>
      <c r="D21" s="1" t="s">
        <v>134</v>
      </c>
      <c r="E21" s="1" t="b">
        <f>FALSE()</f>
        <v>0</v>
      </c>
      <c r="F21" s="1">
        <v>2</v>
      </c>
      <c r="G21" s="7" t="s">
        <v>165</v>
      </c>
      <c r="H21" s="1" t="b">
        <f>FALSE()</f>
        <v>0</v>
      </c>
      <c r="I21" s="1">
        <v>2</v>
      </c>
      <c r="J21" s="1" t="s">
        <v>166</v>
      </c>
      <c r="K21" s="8" t="s">
        <v>27</v>
      </c>
      <c r="L21" s="1" t="s">
        <v>37</v>
      </c>
      <c r="M21" s="8" t="s">
        <v>29</v>
      </c>
      <c r="N21" s="7" t="s">
        <v>167</v>
      </c>
      <c r="O21" s="7" t="s">
        <v>168</v>
      </c>
      <c r="P21" s="1"/>
    </row>
    <row r="22" spans="1:16" ht="54.75" customHeight="1" x14ac:dyDescent="0.35">
      <c r="A22" s="9" t="s">
        <v>169</v>
      </c>
      <c r="B22" s="13" t="s">
        <v>170</v>
      </c>
      <c r="C22" s="11" t="s">
        <v>171</v>
      </c>
      <c r="D22" s="13" t="s">
        <v>157</v>
      </c>
      <c r="E22" s="10" t="b">
        <f>TRUE()</f>
        <v>1</v>
      </c>
      <c r="F22" s="10">
        <v>2</v>
      </c>
      <c r="G22" s="13" t="s">
        <v>172</v>
      </c>
      <c r="H22" s="10" t="b">
        <f>TRUE()</f>
        <v>1</v>
      </c>
      <c r="I22" s="10">
        <v>2</v>
      </c>
      <c r="J22" s="10" t="s">
        <v>173</v>
      </c>
      <c r="K22" s="12" t="s">
        <v>27</v>
      </c>
      <c r="L22" s="10" t="s">
        <v>28</v>
      </c>
      <c r="M22" s="12" t="s">
        <v>29</v>
      </c>
      <c r="N22" s="13" t="s">
        <v>174</v>
      </c>
      <c r="O22" s="13" t="s">
        <v>175</v>
      </c>
      <c r="P22" s="10"/>
    </row>
    <row r="23" spans="1:16" ht="54.75" customHeight="1" x14ac:dyDescent="0.35">
      <c r="A23" s="5" t="s">
        <v>176</v>
      </c>
      <c r="B23" s="7" t="s">
        <v>177</v>
      </c>
      <c r="C23" s="6" t="s">
        <v>178</v>
      </c>
      <c r="D23" s="7" t="s">
        <v>179</v>
      </c>
      <c r="E23" s="1" t="s">
        <v>58</v>
      </c>
      <c r="F23" s="1">
        <v>2</v>
      </c>
      <c r="G23" s="7" t="s">
        <v>180</v>
      </c>
      <c r="H23" s="1" t="s">
        <v>58</v>
      </c>
      <c r="I23" s="1">
        <v>2</v>
      </c>
      <c r="J23" s="1" t="s">
        <v>181</v>
      </c>
      <c r="K23" s="8" t="s">
        <v>27</v>
      </c>
      <c r="L23" s="1" t="s">
        <v>58</v>
      </c>
      <c r="M23" s="8" t="s">
        <v>29</v>
      </c>
      <c r="N23" s="7" t="s">
        <v>182</v>
      </c>
      <c r="O23" s="7" t="s">
        <v>183</v>
      </c>
      <c r="P23" s="1"/>
    </row>
    <row r="24" spans="1:16" ht="54.75" customHeight="1" x14ac:dyDescent="0.35">
      <c r="A24" s="9" t="s">
        <v>184</v>
      </c>
      <c r="B24" s="13" t="s">
        <v>185</v>
      </c>
      <c r="C24" s="11" t="s">
        <v>186</v>
      </c>
      <c r="D24" s="13" t="s">
        <v>187</v>
      </c>
      <c r="E24" s="10" t="b">
        <f>TRUE()</f>
        <v>1</v>
      </c>
      <c r="F24" s="10">
        <v>3</v>
      </c>
      <c r="G24" s="13" t="s">
        <v>188</v>
      </c>
      <c r="H24" s="10" t="b">
        <f>TRUE()</f>
        <v>1</v>
      </c>
      <c r="I24" s="10">
        <v>3</v>
      </c>
      <c r="J24" s="10" t="s">
        <v>189</v>
      </c>
      <c r="K24" s="12" t="s">
        <v>27</v>
      </c>
      <c r="L24" s="10" t="s">
        <v>28</v>
      </c>
      <c r="M24" s="12" t="s">
        <v>29</v>
      </c>
      <c r="N24" s="13" t="s">
        <v>190</v>
      </c>
      <c r="O24" s="13" t="s">
        <v>191</v>
      </c>
      <c r="P24" s="10"/>
    </row>
    <row r="25" spans="1:16" ht="54.75" customHeight="1" x14ac:dyDescent="0.35">
      <c r="A25" s="5" t="s">
        <v>192</v>
      </c>
      <c r="B25" s="7" t="s">
        <v>193</v>
      </c>
      <c r="C25" s="6" t="s">
        <v>194</v>
      </c>
      <c r="D25" s="7" t="s">
        <v>195</v>
      </c>
      <c r="E25" s="1" t="b">
        <f>TRUE()</f>
        <v>1</v>
      </c>
      <c r="F25" s="1">
        <v>3</v>
      </c>
      <c r="G25" s="7" t="s">
        <v>196</v>
      </c>
      <c r="H25" s="1" t="b">
        <f>TRUE()</f>
        <v>1</v>
      </c>
      <c r="I25" s="1">
        <v>3</v>
      </c>
      <c r="J25" s="1" t="s">
        <v>197</v>
      </c>
      <c r="K25" s="8" t="s">
        <v>27</v>
      </c>
      <c r="L25" s="1" t="s">
        <v>28</v>
      </c>
      <c r="M25" s="8" t="s">
        <v>29</v>
      </c>
      <c r="N25" s="7" t="s">
        <v>198</v>
      </c>
      <c r="O25" s="7" t="s">
        <v>199</v>
      </c>
      <c r="P25" s="1"/>
    </row>
    <row r="26" spans="1:16" ht="54.75" customHeight="1" x14ac:dyDescent="0.35">
      <c r="A26" s="9" t="s">
        <v>200</v>
      </c>
      <c r="B26" s="13" t="s">
        <v>201</v>
      </c>
      <c r="C26" s="11" t="s">
        <v>202</v>
      </c>
      <c r="D26" s="10" t="s">
        <v>134</v>
      </c>
      <c r="E26" s="10" t="s">
        <v>58</v>
      </c>
      <c r="F26" s="10">
        <v>2</v>
      </c>
      <c r="G26" s="13" t="s">
        <v>203</v>
      </c>
      <c r="H26" s="10" t="b">
        <f>TRUE()</f>
        <v>1</v>
      </c>
      <c r="I26" s="10">
        <v>3</v>
      </c>
      <c r="J26" s="10" t="s">
        <v>204</v>
      </c>
      <c r="K26" s="12" t="s">
        <v>60</v>
      </c>
      <c r="L26" s="10" t="s">
        <v>28</v>
      </c>
      <c r="M26" s="12" t="s">
        <v>61</v>
      </c>
      <c r="N26" s="13" t="s">
        <v>205</v>
      </c>
      <c r="O26" s="13" t="s">
        <v>206</v>
      </c>
      <c r="P26" s="10"/>
    </row>
    <row r="27" spans="1:16" ht="54.75" customHeight="1" x14ac:dyDescent="0.35">
      <c r="A27" s="5" t="s">
        <v>207</v>
      </c>
      <c r="B27" s="7" t="s">
        <v>208</v>
      </c>
      <c r="C27" s="6" t="s">
        <v>209</v>
      </c>
      <c r="D27" s="7" t="s">
        <v>24</v>
      </c>
      <c r="E27" s="1" t="s">
        <v>58</v>
      </c>
      <c r="F27" s="1">
        <v>2</v>
      </c>
      <c r="G27" s="7" t="s">
        <v>210</v>
      </c>
      <c r="H27" s="1" t="s">
        <v>58</v>
      </c>
      <c r="I27" s="1">
        <v>2</v>
      </c>
      <c r="J27" s="1" t="s">
        <v>211</v>
      </c>
      <c r="K27" s="8" t="s">
        <v>27</v>
      </c>
      <c r="L27" s="1" t="s">
        <v>58</v>
      </c>
      <c r="M27" s="8" t="s">
        <v>29</v>
      </c>
      <c r="N27" s="7" t="s">
        <v>212</v>
      </c>
      <c r="O27" s="7" t="s">
        <v>213</v>
      </c>
      <c r="P27" s="1"/>
    </row>
    <row r="28" spans="1:16" ht="54.75" customHeight="1" x14ac:dyDescent="0.35">
      <c r="A28" s="9" t="s">
        <v>214</v>
      </c>
      <c r="B28" s="13" t="s">
        <v>215</v>
      </c>
      <c r="C28" s="11" t="s">
        <v>216</v>
      </c>
      <c r="D28" s="13" t="s">
        <v>217</v>
      </c>
      <c r="E28" s="10" t="s">
        <v>58</v>
      </c>
      <c r="F28" s="10">
        <v>2</v>
      </c>
      <c r="G28" s="13" t="s">
        <v>218</v>
      </c>
      <c r="H28" s="10" t="s">
        <v>58</v>
      </c>
      <c r="I28" s="10">
        <v>2</v>
      </c>
      <c r="J28" s="10" t="s">
        <v>219</v>
      </c>
      <c r="K28" s="12" t="s">
        <v>27</v>
      </c>
      <c r="L28" s="10" t="s">
        <v>58</v>
      </c>
      <c r="M28" s="12" t="s">
        <v>29</v>
      </c>
      <c r="N28" s="13" t="s">
        <v>220</v>
      </c>
      <c r="O28" s="13" t="s">
        <v>295</v>
      </c>
      <c r="P28" s="10"/>
    </row>
    <row r="29" spans="1:16" ht="54.75" customHeight="1" x14ac:dyDescent="0.35">
      <c r="A29" s="5" t="s">
        <v>221</v>
      </c>
      <c r="B29" s="7" t="s">
        <v>222</v>
      </c>
      <c r="C29" s="6" t="s">
        <v>223</v>
      </c>
      <c r="D29" s="7" t="s">
        <v>96</v>
      </c>
      <c r="E29" s="1" t="s">
        <v>58</v>
      </c>
      <c r="F29" s="1">
        <v>2</v>
      </c>
      <c r="G29" s="7" t="s">
        <v>224</v>
      </c>
      <c r="H29" s="1" t="s">
        <v>58</v>
      </c>
      <c r="I29" s="1">
        <v>2</v>
      </c>
      <c r="J29" s="1" t="s">
        <v>225</v>
      </c>
      <c r="K29" s="8" t="s">
        <v>27</v>
      </c>
      <c r="L29" s="1" t="s">
        <v>58</v>
      </c>
      <c r="M29" s="8" t="s">
        <v>29</v>
      </c>
      <c r="N29" s="7" t="s">
        <v>226</v>
      </c>
      <c r="O29" s="7" t="s">
        <v>227</v>
      </c>
      <c r="P29" s="1"/>
    </row>
    <row r="30" spans="1:16" ht="54.75" customHeight="1" x14ac:dyDescent="0.35">
      <c r="A30" s="9" t="s">
        <v>228</v>
      </c>
      <c r="B30" s="13" t="s">
        <v>229</v>
      </c>
      <c r="C30" s="11" t="s">
        <v>230</v>
      </c>
      <c r="D30" s="13" t="s">
        <v>96</v>
      </c>
      <c r="E30" s="10" t="b">
        <f>TRUE()</f>
        <v>1</v>
      </c>
      <c r="F30" s="10">
        <v>3</v>
      </c>
      <c r="G30" s="13" t="s">
        <v>231</v>
      </c>
      <c r="H30" s="10" t="b">
        <f>TRUE()</f>
        <v>1</v>
      </c>
      <c r="I30" s="10">
        <v>3</v>
      </c>
      <c r="J30" s="10" t="s">
        <v>232</v>
      </c>
      <c r="K30" s="12" t="s">
        <v>27</v>
      </c>
      <c r="L30" s="10" t="s">
        <v>28</v>
      </c>
      <c r="M30" s="12" t="s">
        <v>29</v>
      </c>
      <c r="N30" s="13" t="s">
        <v>233</v>
      </c>
      <c r="O30" s="13" t="s">
        <v>234</v>
      </c>
      <c r="P30" s="10"/>
    </row>
    <row r="31" spans="1:16" ht="54.75" customHeight="1" x14ac:dyDescent="0.35">
      <c r="A31" s="5" t="s">
        <v>235</v>
      </c>
      <c r="B31" s="7" t="s">
        <v>236</v>
      </c>
      <c r="C31" s="6" t="s">
        <v>237</v>
      </c>
      <c r="D31" s="7" t="s">
        <v>179</v>
      </c>
      <c r="E31" s="1" t="b">
        <f>TRUE()</f>
        <v>1</v>
      </c>
      <c r="F31" s="1">
        <v>3</v>
      </c>
      <c r="G31" s="7" t="s">
        <v>238</v>
      </c>
      <c r="H31" s="1" t="b">
        <f>TRUE()</f>
        <v>1</v>
      </c>
      <c r="I31" s="1">
        <v>3</v>
      </c>
      <c r="J31" s="1" t="s">
        <v>239</v>
      </c>
      <c r="K31" s="8" t="s">
        <v>27</v>
      </c>
      <c r="L31" s="1" t="s">
        <v>28</v>
      </c>
      <c r="M31" s="8" t="s">
        <v>29</v>
      </c>
      <c r="N31" s="7" t="s">
        <v>240</v>
      </c>
      <c r="O31" s="7" t="s">
        <v>296</v>
      </c>
      <c r="P31" s="1"/>
    </row>
    <row r="32" spans="1:16" ht="79.5" customHeight="1" x14ac:dyDescent="0.35">
      <c r="A32" s="9" t="s">
        <v>241</v>
      </c>
      <c r="B32" s="13" t="s">
        <v>242</v>
      </c>
      <c r="C32" s="11" t="s">
        <v>243</v>
      </c>
      <c r="D32" s="10" t="s">
        <v>134</v>
      </c>
      <c r="E32" s="10" t="s">
        <v>58</v>
      </c>
      <c r="F32" s="10">
        <v>2</v>
      </c>
      <c r="G32" s="13" t="s">
        <v>244</v>
      </c>
      <c r="H32" s="10" t="s">
        <v>58</v>
      </c>
      <c r="I32" s="10">
        <v>2</v>
      </c>
      <c r="J32" s="10" t="s">
        <v>245</v>
      </c>
      <c r="K32" s="12" t="s">
        <v>27</v>
      </c>
      <c r="L32" s="10" t="s">
        <v>58</v>
      </c>
      <c r="M32" s="12" t="s">
        <v>29</v>
      </c>
      <c r="N32" s="13" t="s">
        <v>246</v>
      </c>
      <c r="O32" s="13" t="s">
        <v>247</v>
      </c>
      <c r="P32" s="10"/>
    </row>
  </sheetData>
  <mergeCells count="5">
    <mergeCell ref="A1:D1"/>
    <mergeCell ref="E1:G1"/>
    <mergeCell ref="H1:J1"/>
    <mergeCell ref="K1:N1"/>
    <mergeCell ref="O1:P1"/>
  </mergeCells>
  <dataValidations count="6">
    <dataValidation type="list" sqref="E3:E32 H3:H32 L3:L32" xr:uid="{00000000-0002-0000-0000-000000000000}">
      <formula1>"TRUE,FALSE,UNVERIFIABLE"</formula1>
      <formula2>0</formula2>
    </dataValidation>
    <dataValidation type="list" sqref="F3:F32 I3:I32" xr:uid="{00000000-0002-0000-0000-000001000000}">
      <formula1>"1,2,3"</formula1>
      <formula2>0</formula2>
    </dataValidation>
    <dataValidation type="list" sqref="K3:K32" xr:uid="{00000000-0002-0000-0000-000002000000}">
      <formula1>"Y,N"</formula1>
      <formula2>0</formula2>
    </dataValidation>
    <dataValidation type="list" sqref="D3:D32" xr:uid="{00000000-0002-0000-0000-000003000000}">
      <formula1>"Health/Medicine,Climate/Environment,Nutrition,COVID-19,Biology,Physics/Chemistry,Other"</formula1>
      <formula2>0</formula2>
    </dataValidation>
    <dataValidation type="list" sqref="M3:M32" xr:uid="{00000000-0002-0000-0000-000004000000}">
      <formula1>"SCOPE,EVIDENCE,IRONY,PRECISION,VAGUE,OTHER,-"</formula1>
      <formula2>0</formula2>
    </dataValidation>
    <dataValidation type="list" sqref="P3:P32" xr:uid="{00000000-0002-0000-0000-000005000000}">
      <formula1>"TRUE,FALSE,UNVERIFIABLE,ERROR"</formula1>
      <formula2>0</formula2>
    </dataValidation>
  </dataValidations>
  <hyperlinks>
    <hyperlink ref="C3" r:id="rId1" xr:uid="{00000000-0004-0000-0000-000000000000}"/>
    <hyperlink ref="C4" r:id="rId2" xr:uid="{00000000-0004-0000-0000-000001000000}"/>
    <hyperlink ref="C5" r:id="rId3" xr:uid="{00000000-0004-0000-0000-000002000000}"/>
    <hyperlink ref="C6" r:id="rId4" xr:uid="{00000000-0004-0000-0000-000003000000}"/>
    <hyperlink ref="C7" r:id="rId5" xr:uid="{00000000-0004-0000-0000-000004000000}"/>
    <hyperlink ref="C8" r:id="rId6" xr:uid="{00000000-0004-0000-0000-000005000000}"/>
    <hyperlink ref="C9" r:id="rId7" xr:uid="{00000000-0004-0000-0000-000006000000}"/>
    <hyperlink ref="C10" r:id="rId8" xr:uid="{00000000-0004-0000-0000-000007000000}"/>
    <hyperlink ref="C11" r:id="rId9" xr:uid="{00000000-0004-0000-0000-000008000000}"/>
    <hyperlink ref="C12" r:id="rId10" xr:uid="{00000000-0004-0000-0000-000009000000}"/>
    <hyperlink ref="C13" r:id="rId11" xr:uid="{00000000-0004-0000-0000-00000A000000}"/>
    <hyperlink ref="C14" r:id="rId12" xr:uid="{00000000-0004-0000-0000-00000B000000}"/>
    <hyperlink ref="C15" r:id="rId13" xr:uid="{00000000-0004-0000-0000-00000C000000}"/>
    <hyperlink ref="C16" r:id="rId14" xr:uid="{00000000-0004-0000-0000-00000D000000}"/>
    <hyperlink ref="C17" r:id="rId15" xr:uid="{00000000-0004-0000-0000-00000E000000}"/>
    <hyperlink ref="C18" r:id="rId16" xr:uid="{00000000-0004-0000-0000-00000F000000}"/>
    <hyperlink ref="C19" r:id="rId17" xr:uid="{00000000-0004-0000-0000-000010000000}"/>
    <hyperlink ref="C20" r:id="rId18" xr:uid="{00000000-0004-0000-0000-000011000000}"/>
    <hyperlink ref="C21" r:id="rId19" xr:uid="{00000000-0004-0000-0000-000012000000}"/>
    <hyperlink ref="C22" r:id="rId20" xr:uid="{00000000-0004-0000-0000-000013000000}"/>
    <hyperlink ref="C23" r:id="rId21" xr:uid="{00000000-0004-0000-0000-000014000000}"/>
    <hyperlink ref="C24" r:id="rId22" xr:uid="{00000000-0004-0000-0000-000015000000}"/>
    <hyperlink ref="C25" r:id="rId23" xr:uid="{00000000-0004-0000-0000-000016000000}"/>
    <hyperlink ref="C26" r:id="rId24" xr:uid="{00000000-0004-0000-0000-000017000000}"/>
    <hyperlink ref="C27" r:id="rId25" xr:uid="{00000000-0004-0000-0000-000018000000}"/>
    <hyperlink ref="C28" r:id="rId26" xr:uid="{00000000-0004-0000-0000-000019000000}"/>
    <hyperlink ref="C29" r:id="rId27" xr:uid="{00000000-0004-0000-0000-00001A000000}"/>
    <hyperlink ref="C30" r:id="rId28" xr:uid="{00000000-0004-0000-0000-00001B000000}"/>
    <hyperlink ref="C31" r:id="rId29" xr:uid="{00000000-0004-0000-0000-00001C000000}"/>
    <hyperlink ref="C32" r:id="rId30" xr:uid="{00000000-0004-0000-0000-00001D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2"/>
  <sheetViews>
    <sheetView showGridLines="0" zoomScaleNormal="100" workbookViewId="0"/>
  </sheetViews>
  <sheetFormatPr defaultColWidth="8.6328125" defaultRowHeight="14.5" x14ac:dyDescent="0.35"/>
  <cols>
    <col min="1" max="1" width="30" customWidth="1"/>
    <col min="2" max="2" width="20" customWidth="1"/>
    <col min="3" max="3" width="45" customWidth="1"/>
  </cols>
  <sheetData>
    <row r="1" spans="1:3" ht="27.75" customHeight="1" x14ac:dyDescent="0.35">
      <c r="A1" s="3" t="s">
        <v>248</v>
      </c>
      <c r="B1" s="3" t="s">
        <v>249</v>
      </c>
      <c r="C1" s="3" t="s">
        <v>250</v>
      </c>
    </row>
    <row r="2" spans="1:3" ht="21.75" customHeight="1" x14ac:dyDescent="0.35">
      <c r="A2" s="14" t="s">
        <v>251</v>
      </c>
      <c r="B2" s="15" t="str">
        <f>'Annotation Tracker'!A32</f>
        <v>ES-30</v>
      </c>
      <c r="C2" s="16" t="s">
        <v>252</v>
      </c>
    </row>
    <row r="3" spans="1:3" ht="21.75" customHeight="1" x14ac:dyDescent="0.35">
      <c r="A3" s="14" t="s">
        <v>253</v>
      </c>
      <c r="B3" s="15">
        <f>COUNTIF('Annotation Tracker'!K3:K32,"Y")</f>
        <v>28</v>
      </c>
      <c r="C3" s="16"/>
    </row>
    <row r="4" spans="1:3" ht="21.75" customHeight="1" x14ac:dyDescent="0.35">
      <c r="A4" s="14" t="s">
        <v>254</v>
      </c>
      <c r="B4" s="15">
        <f>COUNTIF('Annotation Tracker'!K3:K32,"N")</f>
        <v>2</v>
      </c>
      <c r="C4" s="16"/>
    </row>
    <row r="5" spans="1:3" ht="21.75" customHeight="1" x14ac:dyDescent="0.35">
      <c r="A5" s="14" t="s">
        <v>255</v>
      </c>
      <c r="B5" s="17">
        <f>B3/(B3+B4)</f>
        <v>0.93333333333333335</v>
      </c>
      <c r="C5" s="16" t="s">
        <v>256</v>
      </c>
    </row>
    <row r="6" spans="1:3" ht="21.75" customHeight="1" x14ac:dyDescent="0.35">
      <c r="A6" s="1"/>
      <c r="B6" s="8"/>
      <c r="C6" s="18"/>
    </row>
    <row r="7" spans="1:3" ht="21.75" customHeight="1" x14ac:dyDescent="0.35">
      <c r="A7" s="14" t="s">
        <v>257</v>
      </c>
      <c r="B7" s="15">
        <v>0.89829999999999999</v>
      </c>
      <c r="C7" s="16" t="s">
        <v>258</v>
      </c>
    </row>
    <row r="8" spans="1:3" ht="21.75" customHeight="1" x14ac:dyDescent="0.35">
      <c r="A8" s="14" t="s">
        <v>259</v>
      </c>
      <c r="B8" s="15" t="s">
        <v>260</v>
      </c>
      <c r="C8" s="16" t="s">
        <v>261</v>
      </c>
    </row>
    <row r="9" spans="1:3" ht="21.75" customHeight="1" x14ac:dyDescent="0.35">
      <c r="A9" s="1"/>
      <c r="B9" s="8"/>
      <c r="C9" s="18"/>
    </row>
    <row r="10" spans="1:3" ht="21.75" customHeight="1" x14ac:dyDescent="0.35">
      <c r="A10" s="14" t="s">
        <v>262</v>
      </c>
      <c r="B10" s="15">
        <f>COUNTIF('Annotation Tracker'!L3:L32,"TRUE")</f>
        <v>0</v>
      </c>
      <c r="C10" s="16"/>
    </row>
    <row r="11" spans="1:3" ht="21.75" customHeight="1" x14ac:dyDescent="0.35">
      <c r="A11" s="14" t="s">
        <v>263</v>
      </c>
      <c r="B11" s="15">
        <f>COUNTIF('Annotation Tracker'!L3:L32,"FALSE")</f>
        <v>0</v>
      </c>
      <c r="C11" s="16"/>
    </row>
    <row r="12" spans="1:3" ht="21.75" customHeight="1" x14ac:dyDescent="0.35">
      <c r="A12" s="14" t="s">
        <v>264</v>
      </c>
      <c r="B12" s="15">
        <f>COUNTIF('Annotation Tracker'!L3:L32,"UNVERIFIABLE")</f>
        <v>8</v>
      </c>
      <c r="C12" s="16"/>
    </row>
    <row r="13" spans="1:3" ht="21.75" customHeight="1" x14ac:dyDescent="0.35">
      <c r="A13" s="1"/>
      <c r="B13" s="8"/>
      <c r="C13" s="18"/>
    </row>
    <row r="14" spans="1:3" ht="21.75" customHeight="1" x14ac:dyDescent="0.35">
      <c r="A14" s="14" t="s">
        <v>265</v>
      </c>
      <c r="B14" s="15"/>
      <c r="C14" s="16" t="s">
        <v>266</v>
      </c>
    </row>
    <row r="15" spans="1:3" ht="21.75" customHeight="1" x14ac:dyDescent="0.35">
      <c r="A15" s="14" t="s">
        <v>267</v>
      </c>
      <c r="B15" s="15"/>
      <c r="C15" s="16" t="s">
        <v>266</v>
      </c>
    </row>
    <row r="16" spans="1:3" ht="21.75" customHeight="1" x14ac:dyDescent="0.35">
      <c r="A16" s="14" t="s">
        <v>268</v>
      </c>
      <c r="B16" s="15"/>
      <c r="C16" s="16" t="s">
        <v>266</v>
      </c>
    </row>
    <row r="17" spans="1:3" ht="21.75" customHeight="1" x14ac:dyDescent="0.35">
      <c r="A17" s="14" t="s">
        <v>269</v>
      </c>
      <c r="B17" s="15"/>
      <c r="C17" s="16" t="s">
        <v>266</v>
      </c>
    </row>
    <row r="19" spans="1:3" ht="21.75" customHeight="1" x14ac:dyDescent="0.35">
      <c r="A19" s="34" t="s">
        <v>270</v>
      </c>
      <c r="B19" s="34"/>
      <c r="C19" s="34"/>
    </row>
    <row r="20" spans="1:3" ht="21.75" customHeight="1" x14ac:dyDescent="0.35">
      <c r="A20" s="34"/>
      <c r="B20" s="34"/>
      <c r="C20" s="34"/>
    </row>
    <row r="21" spans="1:3" ht="21.75" customHeight="1" x14ac:dyDescent="0.35">
      <c r="A21" s="34"/>
      <c r="B21" s="34"/>
      <c r="C21" s="34"/>
    </row>
    <row r="22" spans="1:3" ht="21.75" customHeight="1" x14ac:dyDescent="0.35">
      <c r="A22" s="34"/>
      <c r="B22" s="34"/>
      <c r="C22" s="34"/>
    </row>
  </sheetData>
  <mergeCells count="1">
    <mergeCell ref="A19:C2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
  <sheetViews>
    <sheetView showGridLines="0" topLeftCell="A3" zoomScaleNormal="100" workbookViewId="0">
      <selection activeCell="B5" sqref="B5"/>
    </sheetView>
  </sheetViews>
  <sheetFormatPr defaultColWidth="8.6328125" defaultRowHeight="14.5" x14ac:dyDescent="0.35"/>
  <cols>
    <col min="1" max="1" width="14" customWidth="1"/>
    <col min="2" max="3" width="55" customWidth="1"/>
    <col min="4" max="4" width="16" customWidth="1"/>
  </cols>
  <sheetData>
    <row r="1" spans="1:4" ht="30" customHeight="1" x14ac:dyDescent="0.35">
      <c r="A1" s="36" t="s">
        <v>271</v>
      </c>
      <c r="B1" s="36"/>
      <c r="C1" s="36"/>
      <c r="D1" s="36"/>
    </row>
    <row r="2" spans="1:4" ht="24" customHeight="1" x14ac:dyDescent="0.35">
      <c r="A2" s="2" t="s">
        <v>272</v>
      </c>
      <c r="B2" s="2" t="s">
        <v>273</v>
      </c>
      <c r="C2" s="2" t="s">
        <v>274</v>
      </c>
      <c r="D2" s="2" t="s">
        <v>275</v>
      </c>
    </row>
    <row r="3" spans="1:4" ht="69.75" customHeight="1" x14ac:dyDescent="0.35">
      <c r="A3" s="19" t="s">
        <v>28</v>
      </c>
      <c r="B3" s="20" t="s">
        <v>276</v>
      </c>
      <c r="C3" s="20" t="s">
        <v>277</v>
      </c>
      <c r="D3" s="21" t="s">
        <v>278</v>
      </c>
    </row>
    <row r="4" spans="1:4" ht="69.75" customHeight="1" x14ac:dyDescent="0.35">
      <c r="A4" s="22" t="s">
        <v>37</v>
      </c>
      <c r="B4" s="23" t="s">
        <v>279</v>
      </c>
      <c r="C4" s="23" t="s">
        <v>280</v>
      </c>
      <c r="D4" s="24" t="s">
        <v>278</v>
      </c>
    </row>
    <row r="5" spans="1:4" ht="69.75" customHeight="1" x14ac:dyDescent="0.35">
      <c r="A5" s="25" t="s">
        <v>58</v>
      </c>
      <c r="B5" s="26" t="s">
        <v>281</v>
      </c>
      <c r="C5" s="26"/>
      <c r="D5" s="27" t="s">
        <v>282</v>
      </c>
    </row>
    <row r="7" spans="1:4" ht="21.75" customHeight="1" x14ac:dyDescent="0.35">
      <c r="A7" s="33" t="s">
        <v>283</v>
      </c>
      <c r="B7" s="33"/>
      <c r="C7" s="33"/>
      <c r="D7" s="33"/>
    </row>
    <row r="8" spans="1:4" ht="21.75" customHeight="1" x14ac:dyDescent="0.35">
      <c r="A8" s="28" t="s">
        <v>284</v>
      </c>
      <c r="B8" s="35" t="s">
        <v>285</v>
      </c>
      <c r="C8" s="35"/>
      <c r="D8" s="35"/>
    </row>
    <row r="9" spans="1:4" ht="21.75" customHeight="1" x14ac:dyDescent="0.35">
      <c r="A9" s="28" t="s">
        <v>61</v>
      </c>
      <c r="B9" s="35" t="s">
        <v>286</v>
      </c>
      <c r="C9" s="35"/>
      <c r="D9" s="35"/>
    </row>
    <row r="10" spans="1:4" ht="21.75" customHeight="1" x14ac:dyDescent="0.35">
      <c r="A10" s="28" t="s">
        <v>287</v>
      </c>
      <c r="B10" s="35" t="s">
        <v>288</v>
      </c>
      <c r="C10" s="35"/>
      <c r="D10" s="35"/>
    </row>
    <row r="11" spans="1:4" ht="21.75" customHeight="1" x14ac:dyDescent="0.35">
      <c r="A11" s="28" t="s">
        <v>289</v>
      </c>
      <c r="B11" s="35" t="s">
        <v>290</v>
      </c>
      <c r="C11" s="35"/>
      <c r="D11" s="35"/>
    </row>
    <row r="12" spans="1:4" ht="21.75" customHeight="1" x14ac:dyDescent="0.35">
      <c r="A12" s="28" t="s">
        <v>291</v>
      </c>
      <c r="B12" s="35" t="s">
        <v>292</v>
      </c>
      <c r="C12" s="35"/>
      <c r="D12" s="35"/>
    </row>
    <row r="13" spans="1:4" ht="21.75" customHeight="1" x14ac:dyDescent="0.35">
      <c r="A13" s="28" t="s">
        <v>293</v>
      </c>
      <c r="B13" s="35" t="s">
        <v>294</v>
      </c>
      <c r="C13" s="35"/>
      <c r="D13" s="35"/>
    </row>
  </sheetData>
  <mergeCells count="8">
    <mergeCell ref="B11:D11"/>
    <mergeCell ref="B12:D12"/>
    <mergeCell ref="B13:D13"/>
    <mergeCell ref="A1:D1"/>
    <mergeCell ref="A7:D7"/>
    <mergeCell ref="B8:D8"/>
    <mergeCell ref="B9:D9"/>
    <mergeCell ref="B10:D1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Annotation Tracker</vt:lpstr>
      <vt:lpstr>Agreement Summary</vt:lpstr>
      <vt:lpstr>Label Quick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Claudia Aranguren Moliner</cp:lastModifiedBy>
  <cp:revision>0</cp:revision>
  <dcterms:created xsi:type="dcterms:W3CDTF">2026-06-08T14:17:59Z</dcterms:created>
  <dcterms:modified xsi:type="dcterms:W3CDTF">2026-06-11T06:57:17Z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0x0101001AFEEAED4168B94EB049AD0E0CA06296</vt:lpwstr>
  </property>
</Properties>
</file>