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104a32442ae9d1cc/Desktop/IE tings/Term 3/NLP/"/>
    </mc:Choice>
  </mc:AlternateContent>
  <xr:revisionPtr revIDLastSave="169" documentId="11_B31B3D6EFA6A1F460011E8886E82F67281B9171E" xr6:coauthVersionLast="47" xr6:coauthVersionMax="47" xr10:uidLastSave="{31342474-26F8-4735-B089-BE18446B2C12}"/>
  <bookViews>
    <workbookView xWindow="-108" yWindow="-108" windowWidth="23256" windowHeight="12456" activeTab="1" xr2:uid="{00000000-000D-0000-FFFF-FFFF00000000}"/>
  </bookViews>
  <sheets>
    <sheet name="Annotation Tracker" sheetId="1" r:id="rId1"/>
    <sheet name="Agreement Summary" sheetId="2" r:id="rId2"/>
    <sheet name="Label Quick Refere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1" i="1" l="1"/>
  <c r="O30" i="1"/>
  <c r="O25" i="1"/>
  <c r="O14" i="1"/>
  <c r="O8" i="1"/>
  <c r="O5" i="1"/>
  <c r="C17" i="2"/>
  <c r="B4" i="2"/>
  <c r="B3" i="2"/>
  <c r="B2" i="2"/>
  <c r="B5" i="2" l="1"/>
  <c r="B11" i="2" l="1"/>
  <c r="B10" i="2"/>
  <c r="B12" i="2"/>
</calcChain>
</file>

<file path=xl/sharedStrings.xml><?xml version="1.0" encoding="utf-8"?>
<sst xmlns="http://schemas.openxmlformats.org/spreadsheetml/2006/main" count="444" uniqueCount="334">
  <si>
    <t>TWEET INFO</t>
  </si>
  <si>
    <t>ANNOTATOR 1</t>
  </si>
  <si>
    <t>ANNOTATOR 2</t>
  </si>
  <si>
    <t>RESOLUTION</t>
  </si>
  <si>
    <t>PIPELINE INPUT</t>
  </si>
  <si>
    <t>ID</t>
  </si>
  <si>
    <t>Tweet Text (English)</t>
  </si>
  <si>
    <t>URL</t>
  </si>
  <si>
    <t>Topic Area</t>
  </si>
  <si>
    <t>A1 Label</t>
  </si>
  <si>
    <t>A1 Confidence
(1-3)</t>
  </si>
  <si>
    <t>A1 Rationale / Source</t>
  </si>
  <si>
    <t>A2 Label</t>
  </si>
  <si>
    <t>A2 Confidence
(1-3)</t>
  </si>
  <si>
    <t>A2 Rationale / Source</t>
  </si>
  <si>
    <t>Agreement?
(Y/N)</t>
  </si>
  <si>
    <t>Gold Label</t>
  </si>
  <si>
    <t>Disagree
Code</t>
  </si>
  <si>
    <t>Notes / Flags</t>
  </si>
  <si>
    <t>MT Translation (ES)</t>
  </si>
  <si>
    <t>Pipeline
Prediction</t>
  </si>
  <si>
    <t>EN-01</t>
  </si>
  <si>
    <t>Astronomers found a planet that has no land, no continents, just water from pole to pole. And its may even run deeper than anything on Earth. They have a name for this true 'water world': TOI-1452 b.</t>
  </si>
  <si>
    <t>https://x.com/CuriosityonX/status/2062580131349111054</t>
  </si>
  <si>
    <t>Astronomy</t>
  </si>
  <si>
    <t>TRUE</t>
  </si>
  <si>
    <t>TOI-1452 b is a real exoplanet described as a strong ocean world candidate (Cadieux et al. 2022, ApJ Letters 96, 197). Radius, mass, and density measurements are consistent with a deep global water layer. The tweet accurately summarises the published discovery with no overclaiming.</t>
  </si>
  <si>
    <t>Tweet mixes verifiable factual claim with editorial framing ("La desinformación confunde…"). Core claim annotated, not the opinion. The 1.3M figure likely refers to the 2019 Hviid et al. study (~650K) or a pooled estimate,slightly imprecise but not substantially wrong per rule 4.5.</t>
  </si>
  <si>
    <t>Los astrónomos descubrieron un planeta que no tiene tierra ni continentes, solo agua de polo a polo. Y puede que sea incluso más profundo que cualquier cosa en la Tierra. Le han dado un nombre a este verdadero 'mundo acuático': TOI-1452 b.</t>
  </si>
  <si>
    <t>EN-02</t>
  </si>
  <si>
    <t>RECENT: Study finds just one minute of anger weakens the immune system for 5 hours</t>
  </si>
  <si>
    <t>https://x.com/forallcurious/status/2063747076463464483</t>
  </si>
  <si>
    <t>Health</t>
  </si>
  <si>
    <t>UNVERIFIABLE</t>
  </si>
  <si>
    <t>Research on acute stress/anger and immune modulation exists (neuroimmunology literature on cytokine responses to anger induction), but the specific figures of 1 minute causing 5 hours of immune suppression oversimplify complex neuroimmune dynamics and cannot be verified from tweet text alone. Per section 4.5, highly precise unattributed timeframes are unverifiable.</t>
  </si>
  <si>
    <t>Tweet includes pubmed link, might confuse pipeline</t>
  </si>
  <si>
    <t>RECIENTE: Un estudio encuentra que solo un minuto de ira debilita el sistema inmunológico durante 5 horas.</t>
  </si>
  <si>
    <t>EN-03</t>
  </si>
  <si>
    <t>BREAKING: Mysterious ‘cold blob’ in the Atlantic suggests the AMOC is weakening it means a new ice age within your life time.</t>
  </si>
  <si>
    <t>https://x.com/forallcurious/status/2063480180014993755</t>
  </si>
  <si>
    <t>Climate</t>
  </si>
  <si>
    <t>FALSE</t>
  </si>
  <si>
    <t>AMOC weakening and the North Atlantic cold blob are documented in peer-reviewed literature (Caesar et al. 2018, Nature; Boers 2021, Nature Climate Change). However, a new ice age within your lifetime directly contradicts IPCC assessments and climate modelling, which project regional North Atlantic cooling, not a full glacial period. Dominant claim FALSE per section 4.2; partial truth noted.</t>
  </si>
  <si>
    <t>[DATE: 2025-09-24] Partial truth: rare VITT clotting known for AstraZeneca but claim vastly overstated. Scare quotes around "vacunas" signal distrust, not sarcasm — claim still asserted as fact. Non-scientific source (funeral director).</t>
  </si>
  <si>
    <t>ÚLTIMA HORA: Una misteriosa 'mancha fría' en el Atlántico sugiere que la AMOC se está debilitando; significa una nueva era glacial en tu vida.</t>
  </si>
  <si>
    <t>EN-04</t>
  </si>
  <si>
    <t>: Cannabis users had 23% higher testosterone in a new study</t>
  </si>
  <si>
    <t>https://x.com/CuriosityonX/status/2062560207058735144</t>
  </si>
  <si>
    <t>Cannabis-testosterone research yields mixed results; some studies report higher testosterone in current users (e.g., Barbonetti et al. 2019). However, the specific 23% figure from a new study cannot be verified from tweet text alone, effect size varies significantly by study design and population, and this is not established consensus. Per section 4.5, unattributed specific statistic is unverifiable.</t>
  </si>
  <si>
    <t>Partial truth: some parasites (e.g. Schistosoma haematobium) are established cancer risk factors — note per §4.2, dominant claim is FALSE. Historical legitimacy framing (1891 article) does not validate the claim. Non-scientific source (Lee Merritt). Conspiracy framing ("no quieren que se sepa").</t>
  </si>
  <si>
    <t>Los consumidores de cannabis tuvieron un 23% más de testosterona en un nuevo estudio.</t>
  </si>
  <si>
    <t>EN-05</t>
  </si>
  <si>
    <t>BREAKING NEWS: 'Negative time' confirmed: Mind-bending experiment shows light can exit a cloud of atoms before it enters, thanks to quantum physics quirk</t>
  </si>
  <si>
    <t>https://x.com/forallcurious/status/2061626603814150196</t>
  </si>
  <si>
    <t>Quantum Physics</t>
  </si>
  <si>
    <t>The underlying experiment is real, likely the Steinberg group Toronto quantum tunneling study showing apparent negative group delay in photon tunneling via weak measurements (approx. 2024). However, negative time confirmed and exit before it enters are contested popular-science interpretations of weak-value quantum measurement data, not a consensus-confirmed phenomenon. The experiment is real; the negative time interpretation is disputed among physicists.</t>
  </si>
  <si>
    <t>Partial truth: in vitro evidence for melittin cytotoxicity is real but "ha demostrado" and "efecto selectivo" overstate clinical validity per §4.2. No source cited per §5.9 — figure/claim unverifiable without reference. Likely annotator disagreement between UNVERIFIABLE and TRUE. [OVERSTATEMENT-OF-EVIDENCE]</t>
  </si>
  <si>
    <t>ÚLTIMA HORA: Se confirma el 'tiempo negativo': Un experimento revolucionario muestra que la luz puede salir de una nube de átomos antes de entrar, gracias a una peculiaridad de la física cuántica.</t>
  </si>
  <si>
    <t>EN-06</t>
  </si>
  <si>
    <t>A vaccine that could provide protection against multiple pathogens would be invaluable, particularly during pandemics in which knowledge of the causative pathogen is limited. In a new Science study, researchers found that a nasal vaccine designed to stimulate innate immune</t>
  </si>
  <si>
    <t>https://x.com/ScienceMagazine/status/2061622602158756172</t>
  </si>
  <si>
    <t>Vaccines</t>
  </si>
  <si>
    <t>A study in Science on a nasal vaccine designed to stimulate innate immunity for broad-spectrum pathogen protection is scientifically well-grounded. Mucosal vaccination and trained innate immunity are active research areas. Tweet source is Science Magazine; hedged framing (could provide, designed to stimulate) accurately represents a research finding. Tweet is truncated but visible claim is scientifically sound. [TRUNCATED]</t>
  </si>
  <si>
    <t>Hashtag #deteccionCancer kept in column B per §5.3 — does not affect label. URL is hashtag link.</t>
  </si>
  <si>
    <t>Una vacuna que pudiera ofrecer protección contra múltiples patógenos sería invaluable, especialmente durante pandemias en las que se desconoce el agente causante. En un nuevo estudio en Science, investigadores descubrieron que una vacuna nasal diseñada para estimular la inmunidad innata...</t>
  </si>
  <si>
    <t>EN-07</t>
  </si>
  <si>
    <t>Pediatricians are reporting increased cases of life-threatening illnesses among children as anti-vaccine sentiment surges, including: —Rotavirus —Haemophilus influenzae —Streptococcus pneumoniae</t>
  </si>
  <si>
    <t>https://x.com/factpostnews/status/2061824204526301620</t>
  </si>
  <si>
    <t>CDC surveillance data and WHO immunization reports document rising incidence of vaccine-preventable diseases in regions with declining vaccination rates (US measles outbreaks 2018-2025; pertussis resurgence). Vaccines exist for all three listed pathogens (RotaTeq/Rotarix; Hib vaccines; PCV13/PCV20). Pediatric reports of increased cases coinciding with anti-vaccine sentiment are consistent with public health surveillance findings.</t>
  </si>
  <si>
    <t>URL source is The People's Voice, a known misinformation outlet — annotating tweet text only per §5.1, [LINK-DEPENDENT] not needed as claim is self-contained. Partial truth: Florida ban on lab-grown meat is real but not justified on cancer grounds — dominant claim FALSE per §4.2. Conspiracy framing (Gates, WEF). [TROJAN-HORSE]</t>
  </si>
  <si>
    <t>Los pediatras reportan un aumento de casos de enfermedades potencialmente mortales en niños a medida que crece el sentimiento antivacunas, incluyendo: rotavirus, Haemophilus influenzae y Streptococcus pneumoniae.</t>
  </si>
  <si>
    <t>EN-08</t>
  </si>
  <si>
    <t>he use of antidepressants while pregnant does not raise the children's risk for developmental ​disorders such as autism, according to an analysis of data from more than 25 million pregnancies that appears to contradict assertions ‌by US Health Secretary Robert F. Kennedy Jr</t>
  </si>
  <si>
    <t>https://x.com/Reuters/status/2055113437378646113</t>
  </si>
  <si>
    <t>Pharmaceuticals</t>
  </si>
  <si>
    <t>A 2024 meta-analysis of data from over 25 million pregnancies found no causal association between prenatal antidepressant exposure and autism or other developmental disorders after sibling-comparison and propensity score adjustment for confounding. This aligns with current scientific consensus and contradicts prior association studies that failed to control for genetic confounders. Source is Reuters.</t>
  </si>
  <si>
    <t>Numerical claim "50%" per §4.5 — substantially wrong, label unaffected. No named source ("este médico" is anonymous). Conspiracy framing ("sabían exactamente lo que estaban haciendo"). Scare quotes around "vacuna" signal distrust, not sarcasm.</t>
  </si>
  <si>
    <t>El uso de antidepresivos durante el embarazo no aumenta el riesgo de trastornos del desarrollo como el autismo en los hijos, según un análisis de datos de más de 25 millones de embarazos, que parece contradecir las afirmaciones del Secretario de Salud de EE. UU., Robert F. Kennedy Jr.</t>
  </si>
  <si>
    <t>EN-09</t>
  </si>
  <si>
    <t xml:space="preserve">Revolution's pancreatic cancer drug doubles survival, boosts quality of life </t>
  </si>
  <si>
    <t>https://x.com/Reuters/status/2061061434994266423</t>
  </si>
  <si>
    <t>Oncology</t>
  </si>
  <si>
    <t>Revolution Medicines daraxonrasib (RMC-6236), a KRAS inhibitor, reported Phase 1/2 trial data at ASCO 2025 showing approximately doubled median overall survival (13.2 vs approx. 6.6 months) in previously treated metastatic pancreatic cancer, alongside quality-of-life improvements. The tweet accurately summarises published trial-level data without overclaiming established standard of care. Source is Reuters.</t>
  </si>
  <si>
    <t>Anecdotal single case generalised to universal cure per §4.4 — dominant claim still FALSE not UNVERIFIABLE as chlorine dioxide is actively contraindicated by scientific consensus. Self-censored spelling (C*NC*R) per §4.6 — interpreted charitably as "cáncer". Conspiracy framing ("el establecimiento médico no quiere que veas"). [HISTORICAL-APPEAL]</t>
  </si>
  <si>
    <t>El medicamento de Revolution para el cáncer de páncreas duplica la supervivencia y mejora la calidad de vida.</t>
  </si>
  <si>
    <t>EN-10</t>
  </si>
  <si>
    <t>The world’s most popular weight-loss and diabetes drugs are linked to a powerful new possible benefit: better outcomes for cancer patients.</t>
  </si>
  <si>
    <t>https://x.com/WSJ/status/2058404378889924784</t>
  </si>
  <si>
    <t>Emerging epidemiological evidence from observational studies (Wang et al. 2024, JAMA Oncology; Kouvari et al. 2024) suggests GLP-1 receptor agonists (semaglutide, tirzepatide) are associated with reduced cancer incidence and improved outcomes in patients with obesity and type 2 diabetes. The hedged framing (linked to, possible benefit) accurately represents the observational, non-causal state of the evidence. Source is WSJ.</t>
  </si>
  <si>
    <t>Confidence 2 not 3: "algunos curanderos ya aplicaban este tipo de hongos" is historically plausible but not precisely verifiable — annotator 2 may lean UNVERIFIABLE on this sub-claim. Final sentence ("la naturaleza fue siempre la primera farmacia") is opinion per §2, disregarded for labelling. Dominant claim TRUE per §4.2.</t>
  </si>
  <si>
    <t>Los medicamentos más populares del mundo para bajar de peso y tratar la diabetes están relacionados con un nuevo y poderoso beneficio: mejores resultados para los pacientes con cáncer.</t>
  </si>
  <si>
    <t>EN-11</t>
  </si>
  <si>
    <t xml:space="preserve">Researchers have found that flavours such as mango and watermelon have a greater impact on how genes function than other flavours Find out how the findings could have a bearing on regulatory and health issues around vaping products and their possible links to cancer and other serious diseases </t>
  </si>
  <si>
    <t>https://x.com/Telegraph/status/2061689417786401044</t>
  </si>
  <si>
    <t>Vaping</t>
  </si>
  <si>
    <t>Research on differential genotoxicity of vaping flavour compounds exists (e.g., cinnamaldehyde, diacetyl). However, the specific comparative claim that mango/watermelon flavours have greater impact on gene function than other flavours cannot be verified from tweet text alone without the linked study. The vaping-cancer link framing is appropriately hedged. Per section 5.1, annotating tweet text only. [LINK-DEPENDENT]</t>
  </si>
  <si>
    <t>URL present per §5.1 — annotating tweet text only, [LINK-DEPENDENT] applies as specific case data cannot be verified without the linked study. Partial truth: fenbendazole preclinical anticancer activity is real per §4.2. 3-patient case series is insufficient to establish efficacy — overclaiming framing. Ivermectin comparison adds further misinformation signal. [OVERSTATEMENT-OF-EVIDENCE]</t>
  </si>
  <si>
    <t>Investigadores han descubierto que sabores como el mango y la sandía tienen un mayor impacto en el funcionamiento de los genes que otros sabores. Descubra cómo los hallazgos podrían influir en cuestiones regulatorias y de salud en torno a los productos de vapeo y sus posibles vínculos con el cáncer y otras enfermedades graves.</t>
  </si>
  <si>
    <t>EN-12</t>
  </si>
  <si>
    <t>Even low alcohol consumption is linked to cancer, heart disease, and premature death, with increased risk above 1 drink per day for both men and women. It turns out that 2 drinks per day, considered ‘moderate’, is associated with a substantially elevated risk of a premature death caused by alcohol.
Health</t>
  </si>
  <si>
    <t>https://www.reddit.com/r/science/comments/1u10rfb/even_low_alcohol_consumption_is_linked_to_cancer/</t>
  </si>
  <si>
    <t>Alcohol</t>
  </si>
  <si>
    <t>WHO, IARC, and multiple large-scale epidemiological studies confirm causal links between alcohol consumption and multiple cancer types and cardiovascular disease (Wood et al. 2018, Lancet; GBD 2016 Alcohol Collaborators). Increased all-cause mortality risk at 2+ drinks/day is well-documented. The claim accurately represents scientific consensus and WHO/IARC cancer prevention guidance with no overclaiming. Source is Reddit r/science.</t>
  </si>
  <si>
    <t>Numerical claim per §4.5 — 13.2 vs 6.6 months matches published trial data, within acceptable margin. No conspiracy framing. Appropriately hedged language. Good contrast with FALSE vaccine tweets in dataset.</t>
  </si>
  <si>
    <t>Incluso el consumo bajo de alcohol está relacionado con el cáncer, las enfermedades cardíacas y la muerte prematura, con un mayor riesgo por encima de 1 bebida al día tanto para hombres como para mujeres. Resulta que 2 bebidas al día, consideradas 'moderadas', están asociadas con un riesgo sustancialmente elevado de muerte prematura causada por el alcohol.</t>
  </si>
  <si>
    <t>EN-13</t>
  </si>
  <si>
    <t>'Alien' DNA found inside humans ─ it was inserted into our genes, mind-blowing study published in Oct, 2025 says.</t>
  </si>
  <si>
    <t>https://x.com/astroscroll/status/2063769703516934495</t>
  </si>
  <si>
    <t>Genetics</t>
  </si>
  <si>
    <t>Human endogenous retroviruses (HERVs) and other non-human DNA sequences comprise approx. 8% of the human genome (IHGSC 2001; Feschotte &amp; Gilbert 2012, Nature Reviews Genetics). A 2025 study likely identified additional non-human DNA sequences. "Alien" is interpreted charitably as non-human/viral rather than extraterrestrial per section 4.6. Underlying scientific claim is accurate; framing is sensationalist. [SENSATIONALIST-FRAMING]</t>
  </si>
  <si>
    <t>DOI cited — credible AHA/ACC source per §5.9. Highly technical language but claim is verifiable and accurate. Good contrast with conspiracy-framed tweets — this is formal scientific communication on social media. No conspiracy framing.</t>
  </si>
  <si>
    <t>Se encontró ADN 'alienígena' dentro de los humanos — fue insertado en nuestros genes, según un asombroso estudio publicado en octubre de 2025.</t>
  </si>
  <si>
    <t>EN-14</t>
  </si>
  <si>
    <t>Male black widow spiders prefer well-fed females before mating to avoid being eaten Researchers found that male black widows can detect chemical cues in a female's web that reveal whether she has recently eaten, helping them choose mates while reducing the risk of cannibalism</t>
  </si>
  <si>
    <t>https://x.com/AMAZlNGNATURE/status/2062148279211823571</t>
  </si>
  <si>
    <t>Wildlife</t>
  </si>
  <si>
    <t>Research on male black widow (Latrodectus spp.) mate selection documents that males assess female satiation via chemical cues (pheromones, cuticular hydrocarbons) in web silk to reduce cannibalism risk (Gaskett 2007; subsequent behavioural ecology studies). A 2024 study confirming this chemical-cue mechanism aligns with established sexual selection research in this genus. Claim is accurate and specific.</t>
  </si>
  <si>
    <t>Partial truth: skin tags (not warts) do have some association with insulin resistance — dominant claim FALSE per §4.2. No conspiracy framing — this is pseudoscientific misinformation rather than deliberate deception. No source cited. Good topical diversity from vaccine/cancer tweets. [OVERSTATEMENT-OF-EVIDENCE]</t>
  </si>
  <si>
    <t>Las arañas viuda negra macho prefieren hembras bien alimentadas antes de aparearse para evitar ser devoradas. Los investigadores descubrieron que los machos pueden detectar señales químicas en la tela de la hembra que revelan si ha comido recientemente, ayudándoles a elegir pareja mientras reducen el riesgo de canibalismo.</t>
  </si>
  <si>
    <t>EN-15</t>
  </si>
  <si>
    <t>The researchers found that people who had received at least one COVID vaccine dose had a higher rate of hospitalization for cancer than unvaccinated people. The adjusted hazard ratio was 1.23, meaning about a 23% higher relative rate</t>
  </si>
  <si>
    <t>https://x.com/Blackswanson/status/2064244820973932619</t>
  </si>
  <si>
    <t>Large-scale pharmacovigilance studies (WHO, CDC, Brighton Collaboration) have not established a causal link between COVID-19 vaccination and increased cancer risk. Apparent differences in cancer hospitalisation rates between vaccinated/unvaccinated groups almost certainly reflect healthcare-seeking and screening bias. The adjusted HR of 1.23 likely reflects residual confounding, not causation, and contradicts scientific consensus on COVID vaccine safety.</t>
  </si>
  <si>
    <t>Confidence 2 not 3: longevity claim is emerging evidence not yet consensus — annotator 2 may lean UNVERIFIABLE on this sub-claim. Dominant claim TRUE per §4.2 due to appropriate hedging throughout. No conspiracy framing. Good TRUE addition to dataset.</t>
  </si>
  <si>
    <t>Los investigadores encontraron que las personas que habían recibido al menos una dosis de la vacuna COVID tenían una tasa de hospitalización por cáncer más alta que las personas no vacunadas. La razón de riesgo ajustada fue de 1,23, lo que significa aproximadamente un 23% más de tasa relativa.</t>
  </si>
  <si>
    <t>EN-16</t>
  </si>
  <si>
    <t>Colorectal cancer is on the rise among young people. Now it is the leading cause of cancer death in the U.S. for those under 50, according to a new analysis</t>
  </si>
  <si>
    <t>https://x.com/WSJ/status/2015113380273541361</t>
  </si>
  <si>
    <t>American Cancer Society data and peer-reviewed studies (Siegel et al. 2023, CA: A Cancer Journal for Clinicians) confirm that colorectal cancer incidence is rising sharply in adults under 50 and is now among the leading causes of cancer death in this US age group. This is a well-documented and widely reported epidemiological trend. Source is WSJ.</t>
  </si>
  <si>
    <t>Partial truth: gluten-Hashimoto's link has real evidence; lupus and MS links are contested per §4.2. Dominant claim too broad to verify as stated per §4.5. "Pueden revertirlas" overstates evidence for reversal. No conspiracy framing — pseudoscientific overclaiming pattern. Good UNVERIFIABLE addition to dataset. [OVERSTATEMENT-OF-EVIDENCE] [VAGUE]</t>
  </si>
  <si>
    <t>El cáncer colorrectal está en aumento entre los jóvenes. Ahora es la principal causa de muerte por cáncer en EE. UU. entre los menores de 50 años, según un nuevo análisis.</t>
  </si>
  <si>
    <t>EN-17</t>
  </si>
  <si>
    <t xml:space="preserve">Tylenol in pregnancy not linked with autism, Danish study finds </t>
  </si>
  <si>
    <t>https://x.com/Reuters/status/2043817784426058096</t>
  </si>
  <si>
    <t>Pregnancy</t>
  </si>
  <si>
    <t>A large Danish registry study found no significant association between prenatal acetaminophen exposure and autism after adjustment for confounding using sibling-comparison design (Liew et al. or similar, 2024). This aligns with the scientific view that earlier correlations reflected confounding by indication. Source is Reuters. Confidence 2 as prior literature debate on this topic adds nuance.</t>
  </si>
  <si>
    <t>Confidence 2 not 3: Samsel &amp; Seneff paper exists and is cited in some outlets, making this harder to dismiss outright — annotator disagreement likely. Correlation-causation conflation per §4.5. No conspiracy framing but discredited source presented as valid evidence. [OVERSTATEMENT-OF-EVIDENCE]</t>
  </si>
  <si>
    <t>El Tylenol durante el embarazo no está relacionado con el autismo, según un estudio danés.</t>
  </si>
  <si>
    <t>EN-18</t>
  </si>
  <si>
    <t>JUST IN: 'Unprecedented' cancer vaccine trial show life-changing results and successfully eradicates entire tumors</t>
  </si>
  <si>
    <t>https://x.com/forallcurious/status/2064026028209824080</t>
  </si>
  <si>
    <t>mRNA personalised cancer vaccine research is advancing: the Moderna/Merck mRNA-4157/V940 melanoma vaccine showed significant survival benefit in Phase 2b (KEYNOTE-942). However, "eradicates entire tumors" and "unprecedented" are strong claims that cannot be verified from tweet text alone without the linked trial data. Specific complete-response claims are [LINK-DEPENDENT]. Dominant framing likely overstates trial outcomes.</t>
  </si>
  <si>
    <t>Confidence 2 not 3: "exposición cero a menores de seis años" slightly overstates guidelines which specify under-2 or under-5 depending on the body — annotator 2 may lean FALSE on this sub-claim per §4.5. Opening sentence is opinion, disregarded per §2. URL present per §5.1 — claim is self-contained without needing to visit link, no [LINK-DEPENDENT] needed. Good topical diversity.</t>
  </si>
  <si>
    <t>ÚLTIMA HORA: Un ensayo de vacuna contra el cáncer 'sin precedentes' muestra resultados que cambian vidas y erradica con éxito tumores enteros.</t>
  </si>
  <si>
    <t>EN-19</t>
  </si>
  <si>
    <t>A new study in Geophysical Research Letters provides robust confirmation that northern hemisphere atmospheric circulation on the largest scale is responding to greenhouse gas emissions.</t>
  </si>
  <si>
    <t>https://x.com/theAGU/status/2063350214635733340</t>
  </si>
  <si>
    <t>Multiple peer-reviewed studies document greenhouse-gas-forced changes in Northern Hemisphere large-scale atmospheric circulation (Hadley cell expansion, subtropical jet stream shifts, polar vortex changes) published in GRL and Nature (Seidel et al. 2008; Staten et al. 2018; Chemke &amp; Polvani 2019). Tweet source is AGU. Hedged framing ("responding to") accurately represents attribution science.</t>
  </si>
  <si>
    <t>Partial truth: aspartame neurotransmitter modulation studies exist but are animal studies misrepresented as proven human harm per §4.2. Confidence 2 not 3: IARC 2023 classification adds ambiguity. "Posiblemente para siempre" is unsubstantiated. No conspiracy framing — overclaiming pattern. [OVERSTATEMENT-OF-EVIDENCE]</t>
  </si>
  <si>
    <t>Un nuevo estudio en Geophysical Research Letters proporciona una confirmación sólida de que la circulación atmosférica del hemisferio norte a la mayor escala está respondiendo a las emisiones de gases de efecto invernadero.</t>
  </si>
  <si>
    <t>EN-20</t>
  </si>
  <si>
    <t xml:space="preserve">🚨New awesome paper led by #PhD student Sex matters under #ocean #warming 🌊 
In amphipods, #females outperform #males in heat tolerance &amp; #metabolic plasticity. Warming may skew sex ratios toward females. </t>
  </si>
  <si>
    <t>https://x.com/DianaSMadeira/status/2063315125642117486</t>
  </si>
  <si>
    <t>Marine Biology</t>
  </si>
  <si>
    <t>Sex-specific differences in thermal tolerance and metabolic plasticity are documented in marine crustaceans and amphipods (Madeira et al. prior publications; Crichton et al. 2023). Tweet appears to be from the lead researcher (@DianaSMadeira), lending primary source credibility. Sex-ratio skewing under warming is a predicted and studied outcome in ectotherms. Confidence 2 as single study finding. [RESEARCHER-TWEET]</t>
  </si>
  <si>
    <t>Confidence 2 not 3: dopamine deficit framing is a simplification of a more complex neurotransmitter picture — annotator 2 may flag as overclaiming. Accents missing ("concentracion", "planificacion") per §4.6 — interpreted charitably. No conspiracy framing. Good TRUE addition and good topical diversity. [CODE-SWITCH]</t>
  </si>
  <si>
    <t>🚨 Nuevo y fantástico artículo liderado por estudiante de doctorado: El sexo importa bajo el calentamiento oceánico 🌊. En anfípodos, las hembras superan a los machos en tolerancia al calor y plasticidad metabólica. El calentamiento puede sesgar las proporciones de sexo hacia las hembras.</t>
  </si>
  <si>
    <t>EN-21</t>
  </si>
  <si>
    <t>Children born after a fertility struggle are more likely to show signs of autism and ADHD, according to international researchers who say this link exists regardless of whether the children were conceived using IVF or other infertility treatments.</t>
  </si>
  <si>
    <t>https://www.reddit.com/r/science/comments/1u0oqre/children_born_after_a_fertility_struggle_are_more/</t>
  </si>
  <si>
    <t>Fertility</t>
  </si>
  <si>
    <t>An association between parental infertility (independent of IVF) and offspring neurodevelopmental outcomes is a plausible hypothesis with emerging evidence, potentially reflecting shared genetic factors. The specific claim that the link exists regardless of IVF or other infertility treatments comes from a single study that cannot be verified from tweet text alone. Not yet established consensus. Per section 4.7, meaningful hedging -&gt; UNVERIFIABLE.</t>
  </si>
  <si>
    <t>Partial truth: biological and genetic components of depression are real; treatment recommendation is sound. However "deja de producir neurotransmisores" reflects outdated serotonin deficiency model per §4.3 — current consensus more nuanced. Confidence 2 due to genuine scientific debate. No conspiracy framing. [OVERSTATEMENT-OF-EVIDENCE] [VAGUE]</t>
  </si>
  <si>
    <t>Los niños nacidos tras una lucha contra la infertilidad tienen más probabilidades de mostrar signos de autismo y TDAH, según investigadores internacionales que afirman que este vínculo existe independientemente de si los niños fueron concebidos mediante FIV u otros tratamientos de infertilidad.</t>
  </si>
  <si>
    <t>EN-22</t>
  </si>
  <si>
    <t>Does the IPCC Exaggerate Climate Science? A new study finds the IPCC Summary for Policymakers has systematically amplified climate science beyond what the underlying report actually says</t>
  </si>
  <si>
    <t>https://x.com/therealdougbell/status/2064101844058571188</t>
  </si>
  <si>
    <t>Whether IPCC Summary for Policymakers language systematically amplifies the underlying technical report is a contested meta-scientific claim. Some researchers (e.g., Pielke Jr. 2022) have argued SPM language can amplify specific findings; others dispute this. The referenced study cannot be verified from tweet text alone, and "systematically" is a strong term for what remains a scholarly debate. Per section 4.8: evaluate on scientific merits.</t>
  </si>
  <si>
    <t>Hashtags #Salud #Sueño #Psicología kept in column B per §5.3 — do not affect label. Final sentence is rhetorical question, disregarded per §2. Appropriately hedged throughout. Clean TRUE tweet with good topical diversity.</t>
  </si>
  <si>
    <t>¿Exagera el IPCC la ciencia climática? Un nuevo estudio encuentra que el Resumen para Responsables de Políticas del IPCC ha amplificado sistemáticamente la ciencia climática más allá de lo que el informe subyacente realmente dice.</t>
  </si>
  <si>
    <t>EN-23</t>
  </si>
  <si>
    <t>A review of 73 studies has highlighted growing evidence that diet in the early years of life may shape how well the brain develops: “A poorer diet in the first years of life was linked to lower intelligence years later, in adolescence”</t>
  </si>
  <si>
    <t>https://www.reddit.com/r/science/comments/1tz9c7j/a_review_of_73_studies_has_highlighted_growing/</t>
  </si>
  <si>
    <t>Nutrition</t>
  </si>
  <si>
    <t>Systematic reviews and prospective cohort studies consistently document associations between early childhood dietary patterns and adolescent cognitive outcomes (Nyaradi et al. 2014, Nutr Rev; Northstone et al. 2012). A review of 73 studies represents a comprehensive evidence base. Hedged framing ("growing evidence", "may shape", "was linked to") accurately represents observational evidence without overclaiming causation. Source is Reddit r/science.</t>
  </si>
  <si>
    <t>Clean TRUE tweet with no conspiracy framing. Exceptions exist (e.g. pregnant women, pre-urological surgery) but tweet does not claim universal rule — appropriately general. Good topical diversity. Good example of TRUE health advice tweet for dataset balance.</t>
  </si>
  <si>
    <t>Una revisión de 73 estudios ha destacado evidencia creciente de que la dieta en los primeros años de vida puede influir en el desarrollo cerebral: 'Una dieta más deficiente en los primeros años de vida se relacionó con una menor inteligencia años después, en la adolescencia'.</t>
  </si>
  <si>
    <t>EN-24</t>
  </si>
  <si>
    <t>A University of Queensland (UQ) research team has developed a novel intranasal formulation of clozapine that could transform the treatment of schizophrenia, potentially reducing the serious side effects of this medication.</t>
  </si>
  <si>
    <t>https://www.reddit.com/r/science/comments/1tzwpxp/a_university_of_queensland_uq_research_team_has/</t>
  </si>
  <si>
    <t>Psychiatry</t>
  </si>
  <si>
    <t>Intranasal clozapine delivery is a clinically motivated research area given the serious systemic side effects of clozapine (agranulocytosis, metabolic syndrome), providing strong rationale for targeted CNS delivery bypassing first-pass metabolism. University of Queensland has documented pharmaceutical delivery research programs. Hedged framing (could transform, potentially reducing) accurately represents an early-phase development, not a clinical claim. Source is Reddit r/science.</t>
  </si>
  <si>
    <t>Confidence 2 not 3: based on limited RCT evidence, not broad consensus — annotator 2 may lean UNVERIFIABLE. "Múltiples beneficios adicionales" is vague and unverifiable but not the dominant claim, disregarded per §4.2. No conspiracy framing. Good TRUE addition with new topic.</t>
  </si>
  <si>
    <t>Un equipo de investigación de la Universidad de Queensland (UQ) ha desarrollado una novedosa formulación intranasal de clozapina que podría transformar el tratamiento de la esquizofrenia, reduciendo potencialmente los graves efectos secundarios de este medicamento.</t>
  </si>
  <si>
    <t>EN-25</t>
  </si>
  <si>
    <t>Electrical pulses reverse aging in sea squirts: « Findings point toward new strategies for protecting species from environmental shifts and could also have implications for mitigating age-related decline in humans. »</t>
  </si>
  <si>
    <t>https://www.reddit.com/r/science/comments/1tyrm4x/electrical_pulses_reverse_aging_in_sea_squirts/</t>
  </si>
  <si>
    <t>Aging</t>
  </si>
  <si>
    <t>Electrical stimulation effects on biological aging in tunicates (sea squirts) are a plausible research area given their regenerative biology. However, "reverse aging" is a strong claim that cannot be verified from tweet text alone without the specific study. The extrapolation to human aging (could also have implications) is speculative and appropriately hedged. Reddit r/science source suggests peer-reviewed publication but specific findings require verification. [LINK-DEPENDENT]</t>
  </si>
  <si>
    <t>Anecdotal claim generalised to others per §4.4. Partial truth: menstrual cycle disruption post-vaccination is documented but effect is typically minor and transient — dominant claim UNVERIFIABLE as stated. No vaccine specified. No conspiracy framing — good contrast with other vaccine tweets in dataset. Good UNVERIFIABLE addition.</t>
  </si>
  <si>
    <t>Pulsos eléctricos revierten el envejecimiento en ascidias: «Los hallazgos apuntan hacia nuevas estrategias para proteger a las especies de los cambios ambientales y también podrían tener implicaciones para mitigar el deterioro relacionado con la edad en los seres humanos».</t>
  </si>
  <si>
    <t>EN-26</t>
  </si>
  <si>
    <t>A major scientific review found that vaping may increase long-term cancer risk. Researchers discovered that e-cigarette vapor can damage DNA, trigger chronic inflammation, and contain cancer-linked chemicals and heavy metals. While scientists are still waiting for long-term human data, the early warning signs are raising serious concerns. Source: Stewart, B. W., et al. Carcinogenesis. The carcinogenicity of e-cigarettes: A qualitative risk assessment.</t>
  </si>
  <si>
    <t>https://x.com/NextScience/status/2064058989973762307</t>
  </si>
  <si>
    <t>Multiple peer-reviewed studies document that e-cigarette vapor contains carcinogenic compounds (formaldehyde, acrolein, heavy metals including lead and cadmium), causes DNA strand breaks in cellular and animal models (Guo et al. 2022), and triggers chronic airway inflammation. Stewart et al. (Carcinogenesis) is explicitly cited. Hedged framing (may increase, still waiting for long-term human data, early warning signs) accurately represents preclinical/epidemiological evidence.</t>
  </si>
  <si>
    <t>Partial truth: testosterone decline from ~35 is documented per §4.2 — dominant claim UNVERIFIABLE due to unsubstantiated prevalence and reversal claims. Mild conspiracy framing ("lo que ningún médico te explica"). "Andropausia" is a contested clinical term, not universally accepted. Good UNVERIFIABLE addition with new topic.</t>
  </si>
  <si>
    <t>Una importante revisión científica encontró que el vapeo puede aumentar el riesgo de cáncer a largo plazo. Los investigadores descubrieron que el vapor de los cigarrillos electrónicos puede dañar el ADN, provocar inflamación crónica y contener químicos y metales pesados relacionados con el cáncer. Aunque los científicos aún esperan datos humanos a largo plazo, las primeras señales de advertencia generan serias preocupaciones.</t>
  </si>
  <si>
    <t>EN-27</t>
  </si>
  <si>
    <t>Delirium After Surgery Is a Strong Predictor of Cognitive Decline in Older Adults</t>
  </si>
  <si>
    <t>https://www.reddit.com/r/science/comments/1u0ao6a/delirium_after_surgery_is_a_strong_predictor_of/</t>
  </si>
  <si>
    <t>Neurology</t>
  </si>
  <si>
    <t>Multiple systematic reviews and large prospective cohort studies confirm that postoperative delirium predicts accelerated cognitive decline and dementia in older adults (Witlox et al. 2010, JAMA; Davis et al. 2012, Br J Anaesthesia; Inouye et al. 2014, Lancet). Biological mechanisms (neuroinflammation, cholinergic disruption) are supported. Incorporated into geriatric medicine and anaesthesia clinical guidelines. Source is Reddit r/science.</t>
  </si>
  <si>
    <t>Numerical claim per §5.9 — specific figures (16%-41%) unverifiable without source citation. General claim about natural light and recovery has real supporting evidence but this specific statistic cannot be confirmed from tweet text alone. No conspiracy framing. Good topical diversity. Good UNVERIFIABLE addition.</t>
  </si>
  <si>
    <t>El delirio postoperatorio es un fuerte predictor de deterioro cognitivo en adultos mayores.</t>
  </si>
  <si>
    <t>EN-28</t>
  </si>
  <si>
    <t>People love working from home but new study suggests this causes increased social isolation, anxiety, and depression | Home alone: Remote work, isolation, and mental health</t>
  </si>
  <si>
    <t>https://www.reddit.com/r/science/comments/1u0a2ib/people_love_working_from_home_but_new_study/</t>
  </si>
  <si>
    <t>Mental Health</t>
  </si>
  <si>
    <t>Research on remote work and mental health documents associations between telework and increased social isolation and symptoms of anxiety/depression (Oakman et al. 2020, Soc Psych Psych Epid; Vyas &amp; Butakhieo 2021, Policy Design &amp; Practice). Hedged framing ("new study suggests") appropriately represents a specific study finding rather than established consensus. Causal language in headline may slightly overstate observational evidence per section 4.7.</t>
  </si>
  <si>
    <t>Clean TRUE tweet. Appropriately hedged throughout ("muy eficaces", "en la mayoría"). Tirzepatide vs semaglutide comparative claim matches published trial data. No conspiracy framing. Good topical diversity — first obesity pharmacotherapy tweet in dataset.</t>
  </si>
  <si>
    <t>A la gente le encanta trabajar desde casa, pero un nuevo estudio sugiere que esto provoca mayor aislamiento social, ansiedad y depresión | Solo en casa: trabajo remoto, aislamiento y salud mental.</t>
  </si>
  <si>
    <t>EN-29</t>
  </si>
  <si>
    <t>A group of brain cells have been found to act as a “disappointment meter” | Researchers describe a specific group of neurons in the mouse brain that become active when the animal anticipates a reward but earns less than expected, or nothing at all.</t>
  </si>
  <si>
    <t>https://www.reddit.com/r/science/comments/1tzsh2s/a_group_of_brain_cells_have_been_found_to_act_as/</t>
  </si>
  <si>
    <t>Neuroscience</t>
  </si>
  <si>
    <t>Reward prediction error signaling by dopaminergic neurons is foundational neuroscience (Schultz et al. 1997, Science). Recent research has identified specific neural populations encoding negative prediction errors in rodents, particularly in dopaminergic midbrain circuits and lateral habenula. The described mouse study likely identifies a specific cell group within this established framework. "Disappointment meter" is a popular label for a biologically real neural mechanism. Reddit r/science source suggests peer-reviewed publication.</t>
  </si>
  <si>
    <t>Clean TRUE tweet. Accent missing in "Diagnostico" per §4.6 — interpreted charitably. Truncated with "etc +" per §5.7 — claim is self-contained and fully verifiable from visible text, no [TRUNCATED] flag needed. No conspiracy framing. Good complement to ES-19 (ADHD dopamine tweet) with different angle.</t>
  </si>
  <si>
    <t>Se ha descubierto que un grupo de células cerebrales actúa como un 'medidor de decepción' | Los investigadores describen un grupo específico de neuronas en el cerebro del ratón que se activan cuando el animal anticipa una recompensa pero obtiene menos de lo esperado, o nada en absoluto.</t>
  </si>
  <si>
    <t>EN-30</t>
  </si>
  <si>
    <t>Bumblebees know how to problem solve their way to a reward.</t>
  </si>
  <si>
    <t>https://x.com/ScienceNews/status/2064018417389113389</t>
  </si>
  <si>
    <t>Animal Behavior</t>
  </si>
  <si>
    <t>Multiple peer-reviewed studies document problem-solving capabilities in bumblebees (Bombus spp.). Loukola et al. (2017, Science) demonstrated bumblebees learning multi-step sequential ball-rolling tasks and transmitting the behaviour socially. Chittka et al. and subsequent work document further cognitive capacities in Bombus species. The claim accurately characterises this established body of comparative cognition research. Source is ScienceNews.</t>
  </si>
  <si>
    <t>URL present per §5.1 — specific 3/4 statistic is [LINK-DEPENDENT], cannot verify without visiting link. Appropriately hedged throughout. Preliminary single trial evidence — not yet consensus. Clinically sensitive topic: ketogenic diet for anorexia is contested among eating disorder specialists — worth noting in qualitative report section.</t>
  </si>
  <si>
    <t>Los abejorros saben cómo resolver problemas para obtener una recompensa.</t>
  </si>
  <si>
    <t>Metric</t>
  </si>
  <si>
    <t>Value</t>
  </si>
  <si>
    <t>Notes</t>
  </si>
  <si>
    <t>Total tweets annotated</t>
  </si>
  <si>
    <t>Auto-counts last filled ID</t>
  </si>
  <si>
    <t>Agreements (Y)</t>
  </si>
  <si>
    <t>Disagreements (N)</t>
  </si>
  <si>
    <t>Agreement rate</t>
  </si>
  <si>
    <t>Format as %</t>
  </si>
  <si>
    <t>Cohen's κ</t>
  </si>
  <si>
    <t>Calculate manually — see formula below</t>
  </si>
  <si>
    <t>κ interpretation</t>
  </si>
  <si>
    <t>&lt; 0.2 poor · 0.2-0.4 fair · 0.4-0.6 moderate · 0.6-0.8 good · &gt; 0.8 excellent</t>
  </si>
  <si>
    <t>TRUE (Gold)</t>
  </si>
  <si>
    <t>FALSE (Gold)</t>
  </si>
  <si>
    <t>UNVERIFIABLE (Gold)</t>
  </si>
  <si>
    <t>Pipeline correct (TRUE→TRUE)</t>
  </si>
  <si>
    <t>Fill after running pipeline</t>
  </si>
  <si>
    <t>Pipeline correct (FALSE→FALSE)</t>
  </si>
  <si>
    <t>Pipeline correct (UNVER.→UNVER.)</t>
  </si>
  <si>
    <t>Overall pipeline accuracy</t>
  </si>
  <si>
    <t>Cohen's κ formula (calculate in Python after annotation):
  from sklearn.metrics import cohen_kappa_score
  kappa = cohen_kappa_score(annotator1_labels, annotator2_labels)
  Labels must be from ['TRUE','FALSE','UNVERIFIABLE']</t>
  </si>
  <si>
    <t>LABEL QUICK REFERENCE — keep open while annotating</t>
  </si>
  <si>
    <t>Label</t>
  </si>
  <si>
    <t>Use when…</t>
  </si>
  <si>
    <t>Do NOT use when…</t>
  </si>
  <si>
    <t>Default?</t>
  </si>
  <si>
    <t>The claim matches current scientific consensus.
A peer-reviewed source directly supports it.
You found evidence in &lt; 2 min.</t>
  </si>
  <si>
    <t>The evidence is mixed or contested.
The claim is only 'probably' true.</t>
  </si>
  <si>
    <t>No</t>
  </si>
  <si>
    <t>The claim contradicts documented scientific consensus.
There is a clear, published refutation.</t>
  </si>
  <si>
    <t>It just seems wrong.
Evidence is indirect or circumstantial.</t>
  </si>
  <si>
    <t>The claim is too vague or personal to test.
It's a prediction or future claim.
No scientific literature addresses it.
You genuinely cannot decide TRUE vs FALSE.</t>
  </si>
  <si>
    <t>YES — when in doubt</t>
  </si>
  <si>
    <t>DISAGREEMENT CODES (use in column M of Annotation Tracker)</t>
  </si>
  <si>
    <t>SCOPE</t>
  </si>
  <si>
    <t>Disagreement about whether the tweet contains a scientific claim at all.</t>
  </si>
  <si>
    <t>EVIDENCE</t>
  </si>
  <si>
    <t>Both agreed it is a claim, but found conflicting or differently-weighted evidence.</t>
  </si>
  <si>
    <t>IRONY</t>
  </si>
  <si>
    <t>One annotator read the tweet as sarcastic, the other did not.</t>
  </si>
  <si>
    <t>PRECISION</t>
  </si>
  <si>
    <t>Disagreement over whether a numerically imprecise claim is TRUE or FALSE.</t>
  </si>
  <si>
    <t>VAGUE</t>
  </si>
  <si>
    <t>Disagreement over whether the claim is specific enough to verify.</t>
  </si>
  <si>
    <t>OTHER</t>
  </si>
  <si>
    <t>Any other source — describe briefly in Notes column.</t>
  </si>
  <si>
    <t>TOI-1452 b is confirmed as a strong ocean world candidate (Cadieux et al. 2022, ApJ Letters). Mass, density, and radius measurements are consistent with a deep global water layer. Tweet accurately summarises the peer-reviewed discovery without overclaiming.</t>
  </si>
  <si>
    <t>While neuroimmunological research supports links between acute anger and immune modulation, the specific precision of 1 minute causing 5 hours of suppression is unattributed and cannot be verified per §4.5. Study is not cited; timeframes are unverifiable from tweet text alone.</t>
  </si>
  <si>
    <t>AMOC weakening and the North Atlantic cold blob are documented (Caesar et al. 2018, Nature; Boers 2021, Nature Climate Change). However, an ice age "within your lifetime" directly contradicts IPCC projections of regional North Atlantic cooling, not a full glacial period. Dominant claim FALSE per §4.2.</t>
  </si>
  <si>
    <t>Some studies report higher testosterone in cannabis users (e.g., Barbonetti et al. 2019), but results are mixed. The specific 23% figure from "a new study" is unattributed per §4.5 and cannot be verified from tweet text alone. Not established consensus.</t>
  </si>
  <si>
    <t>The underlying experiment (likely Steinberg group, Toronto, 2024) is real, but "confirmed" is a contested interpretation. "Negative time" reflects a disputed popular-science reading of weak-value quantum measurement data, not a consensus-accepted phenomenon. Experiment is real; interpretation is disputed among physicists.</t>
  </si>
  <si>
    <t>Mucosal vaccination and trained innate immunity are active, well-grounded research areas. Tweet source is Science Magazine; hedged framing (could provide, designed to stimulate) accurately reflects a study finding, not a clinical claim. [TRUNCATED]</t>
  </si>
  <si>
    <t>CDC/WHO surveillance confirms rising incidence of vaccine-preventable diseases in regions with declining vaccination rates (US measles outbreaks 2018–2025; pertussis resurgence). Vaccines exist for all three pathogens (RotaTeq/Rotarix; Hib; PCV13/PCV20). Consistent with public health epidemiological data.</t>
  </si>
  <si>
    <t>A 2024 meta-analysis of 25M+ pregnancies found no causal association between prenatal antidepressants and autism after sibling-comparison and propensity-score adjustment for confounders. Aligns with current scientific consensus and contradicts prior association studies that failed to control for genetic confounders. Source: Reuters.</t>
  </si>
  <si>
    <t>Revolution Medicines daraxonrasib (RMC-6236) Phase 1/2 data at ASCO 2025 showed approximately doubled median overall survival (~13.2 vs ~6.6 months) in previously treated metastatic pancreatic cancer, alongside QoL improvements. The tweet accurately summarises trial-level data without overclaiming. Source: Reuters. Confidence 2 as trial-level data, not approved standard of care.</t>
  </si>
  <si>
    <t>Observational evidence (Wang et al. 2024, JAMA Oncology; Kouvari et al. 2024) associates GLP-1 receptor agonists (semaglutide, tirzepatide) with reduced cancer incidence and improved outcomes in patients with obesity and T2DM. Hedged framing (linked to, possible benefit) accurately represents observational, non-causal evidence. Source: WSJ.</t>
  </si>
  <si>
    <t>Research on differential genotoxicity of vaping flavour compounds exists (e.g., cinnamaldehyde, diacetyl), but the specific comparative claim about mango/watermelon cannot be verified from tweet text alone without the linked study. Per §5.1, annotating tweet text only. [LINK-DEPENDENT]</t>
  </si>
  <si>
    <t>WHO, IARC, and Lancet studies (Wood et al. 2018, Lancet; GBD 2016 Alcohol Collaborators) confirm causal links between alcohol and cancer and cardiovascular disease. Increased all-cause mortality at 2+ drinks/day is well-documented. Claims accurately represent scientific consensus and WHO/IARC cancer prevention guidance.</t>
  </si>
  <si>
    <t>Human endogenous retroviruses (HERVs) and non-human sequences comprise ~8% of the human genome (IHGSC 2001; Feschotte &amp; Gilbert 2012, Nature Reviews Genetics). "Alien" interpreted charitably as non-human/viral per §4.6. Underlying scientific claim is accurate; framing is sensationalist. [SENSATIONALIST-FRAMING]</t>
  </si>
  <si>
    <t>Male black widows (Latrodectus spp.) assessing female satiation via chemical cues (pheromones, cuticular hydrocarbons) in web silk to reduce cannibalism risk is documented in sexual selection literature (Gaskett 2007; subsequent behavioural ecology studies). A recent study confirming this chemical-cue mechanism aligns with established research. Confidence 2 as specific study finding.</t>
  </si>
  <si>
    <t>Large-scale pharmacovigilance studies (WHO, CDC, Brighton Collaboration) have not established causal links between COVID-19 vaccination and cancer risk. The adjusted HR of 1.23 almost certainly reflects healthcare-seeking or screening bias rather than causation. Contradicts scientific consensus on COVID vaccine safety.</t>
  </si>
  <si>
    <t>American Cancer Society data and peer-reviewed studies (Siegel et al. 2023, CA: A Cancer Journal for Clinicians) confirm colorectal cancer is the leading cause of cancer death in US adults under 50. A well-documented and widely reported epidemiological trend. Source: WSJ.</t>
  </si>
  <si>
    <t>A large Danish registry study found no significant association between prenatal acetaminophen and autism after sibling-comparison confounding adjustment (Liew et al. or similar, 2024). Aligns with current scientific view that earlier correlations reflected confounding by indication. Source: Reuters. Confidence 2 due to prior literature debate.</t>
  </si>
  <si>
    <t>mRNA personalised cancer vaccines are advancing (Moderna/Merck mRNA-4157/V940 Phase 2b, KEYNOTE-942), but "eradicates entire tumors" and "unprecedented" are strong claims that cannot be verified from tweet text alone without the linked trial data. [LINK-DEPENDENT]. Dominant framing likely overstates trial outcomes.</t>
  </si>
  <si>
    <t>Greenhouse-gas-forced changes in NH large-scale atmospheric circulation (Hadley cell expansion, subtropical jet stream shifts, polar vortex changes) are documented in GRL and Nature (Seidel et al. 2008; Staten et al. 2018; Chemke &amp; Polvani 2019). Tweet source is AGU. Hedged framing ("responding to") accurately represents attribution science.</t>
  </si>
  <si>
    <t>Sex-specific differences in thermal tolerance and metabolic plasticity in marine amphipods are documented (Madeira et al. prior publications; Crichton et al. 2023). Tweet appears to be from lead researcher @DianaSMadeira, lending primary source credibility. Sex-ratio skewing under warming is a predicted outcome in ectotherms. [RESEARCHER-TWEET] Confidence 2 as single study finding.</t>
  </si>
  <si>
    <t>An association between parental infertility and offspring neurodevelopmental outcomes is a plausible hypothesis with emerging evidence, potentially reflecting shared genetic factors. The specific claim of independence from IVF comes from a single study that cannot be verified from tweet text alone. Not yet established consensus. Per §4.7, meaningful hedging → UNVERIFIABLE.</t>
  </si>
  <si>
    <t>Whether IPCC SPM language systematically amplifies the underlying technical report is a contested meta-scientific claim (cf. Pielke Jr. 2022). The referenced study cannot be verified from tweet text alone; "systematically" is a strong claim for what remains a scholarly debate. Per §4.8: evaluate on scientific merits.</t>
  </si>
  <si>
    <t>Systematic reviews and cohort studies document associations between early childhood dietary patterns and adolescent cognitive outcomes (Nyaradi et al. 2014, Nutr Rev; Northstone et al. 2012). A 73-study review represents a comprehensive evidence base. Hedged framing ("growing evidence", "may shape", "was linked to") accurately represents observational evidence without overclaiming causation.</t>
  </si>
  <si>
    <t>Intranasal clozapine delivery is clinically well-motivated to bypass systemic toxicity (agranulocytosis, metabolic syndrome). UQ has documented pharmaceutical delivery research programs. Hedged framing (could transform, potentially reducing) accurately represents early-phase development, not a clinical claim. Source: Reddit r/science.</t>
  </si>
  <si>
    <t>Electrical stimulation effects on aging in tunicates (sea squirts) are plausible given their regenerative biology, but "reverse aging" is a strong claim that cannot be verified without the specific linked study. Extrapolation to human aging is speculative and appropriately hedged in the tweet. [LINK-DEPENDENT]</t>
  </si>
  <si>
    <t>E-cigarette vapor is documented to contain carcinogenic compounds (formaldehyde, acrolein, heavy metals including lead and cadmium) and causes DNA strand breaks in cellular/animal models (Guo et al. 2022). Stewart et al. (Carcinogenesis) is explicitly cited. Hedged framing (may increase, still waiting for long-term data, early warning signs) accurately represents preclinical/epidemiological evidence.</t>
  </si>
  <si>
    <t>Multiple systematic reviews and large cohort studies confirm that postoperative delirium predicts accelerated cognitive decline and dementia in older adults (Witlox et al. 2010, JAMA; Davis et al. 2012, Br J Anaesthesia; Inouye et al. 2014, Lancet). Biological mechanisms supported; incorporated into geriatric medicine and anaesthesia clinical guidelines. Source: Reddit r/science.</t>
  </si>
  <si>
    <t>Research on remote work and mental health documents associations between telework and social isolation and symptoms of anxiety/depression (Oakman et al. 2020; Vyas &amp; Butakhieo 2021). Hedged framing ("new study suggests") appropriately represents a study finding, not consensus. Causal language in headline slightly overstates observational evidence per §4.7.</t>
  </si>
  <si>
    <t>Reward prediction error signaling by dopaminergic neurons is foundational neuroscience (Schultz et al. 1997, Science). Recent research identifies specific neural populations encoding negative prediction errors in rodents (dopaminergic midbrain circuits, lateral habenula). "Disappointment meter" labels a biologically real neural mechanism. Source: Reddit r/science.</t>
  </si>
  <si>
    <t>Bumblebee (Bombus spp.) problem-solving is documented in multiple peer-reviewed studies. Loukola et al. (2017, Science) demonstrated multi-step sequential ball-rolling learning and social transmission. Chittka et al. and subsequent work document further cognitive capacities. Claim accurately characterises established comparative cognition research. Source: ScienceNews.</t>
  </si>
  <si>
    <t>TOI-1452 b is a real candidate but its status as a water world is unconfirmed, density data is consistent with a deep ocean but alternative explanations (rocky planet, H/He atmosphere) remain open. The tweet presents the hypothesis as established fact.</t>
  </si>
  <si>
    <t>The link between anger/stress and immune suppression has scientific support, but the precise claim of "1 minute weakens immunity for exactly 5 hours" is a viral oversimplification with no traceable peer-reviewed source. The specific numbers circulate widely on social media without citation.</t>
  </si>
  <si>
    <t>The cold blob and AMOC weakening are scientifically supported, but the conclusion "a new ice age within your lifetime" contradicts scientific consensus. Scientists explicitly warn against this framing, a weakening AMOC would cause regional cooling and disruption, not a full ice age. The tweet takes a real phenomenon and attaches a sensationalist conclusion not supported by the evidence.</t>
  </si>
  <si>
    <t>The study is real (University of Geneva, published in Communications Medicine, May 2026) and the 23% figure is accurately reported. However, the tweet omits that the sample was only 94 young Swiss men aged 18-23, causality is not established, and the researchers explicitly warn the increase cannot be linked to fertility or broader health outcomes. As a single small study with contested implications, it falls short of verified scientific consensus.</t>
  </si>
  <si>
    <t>The experiment is real, peer-reviewed, and published in April 2025 (University of Toronto / Griffith University). Photons did register negative interaction times with rubidium atoms, confirmed by the atoms themselves. The core claim accurately reflects the findings. Confidence is 2 rather than 3 because "confirmed" is slightly strong -- researchers stress this is a quantum measurement quirk, fully explained by standard physics, not a violation of causality.</t>
  </si>
  <si>
    <t>The claim accurately describes the Zhang et al. study published in Science (2026): an intranasal vaccine stimulating innate immune cells and T cells provided broad protection against viral and bacterial lung infections in mice. The scope is correctly limited to mice and the description matches the published findings.</t>
  </si>
  <si>
    <t>Reported pediatrician accounts and news investigations corroborate increased cases of rotavirus, Haemophilus influenzae, and Streptococcus pneumoniae in children, linked to declining vaccination rates. The claim is well supported by recent reporting and clinical observations. Confidence is 2 rather than 3 because the tweet frames this as a direct causal chain (anti-vaccine sentiment causing the surge) which is strongly implied but not formally proven in a single study.</t>
  </si>
  <si>
    <t>The Lancet Psychiatry meta-analysis (May 2026) of 37 studies covering 600,000+ antidepressant-exposed pregnancies and nearly 25 million unexposed pregnancies found no significant link between common antidepressant use in pregnancy and autism or ADHD after controlling for confounders. The tweet accurately summarises the study's findings and the factual contrast with RFK Jr.'s claims.</t>
  </si>
  <si>
    <t>Revolution Medicines' drug daraxonrasib showed median overall survival of 13.2 months vs 6.7 months on chemotherapy in a Phase 3 trial of 500 patients, published in the NEJM and presented at ASCO on May 31 2026. The "doubles survival" framing is accurate (roughly 2x) and quality of life improvements were also reported. The claim is well-supported by a large, peer-reviewed RCT.</t>
  </si>
  <si>
    <t>Promising signals exist from ASCO 2026 observational studies, but a December 2025 meta-analysis of 48 RCTs found "little or no effect" on cancer risk -- evidence remains contested and the claim is too vague to pin to a specific finding.</t>
  </si>
  <si>
    <t>The USC/Frontiers in Oncology study (June 2026) is real and does show fruity flavours like mango alter more genes than other flavour categories, but the tweet singles out "mango and watermelon" specifically and implies a direct cancer link -- the study shows gene expression changes, not confirmed disease causation.</t>
  </si>
  <si>
    <t>The Columbia/University of Toronto study published in the Journal of Studies on Alcohol and Drugs (June 2026) directly supports all claims in the tweet, including the 1 drink/day threshold and the elevated risk at 2 drinks/day. The findings align with the CDC and U.S. Surgeon General's existing guidance.</t>
  </si>
  <si>
    <t>The study is not peer-reviewed, was conducted by the CEO of a fringe organisation, relies partly on self-reported alien abductees, and the non-parental DNA variants identified have well-established alternative explanations (sequencing errors, de novo mutations, misattributed paternity). No credible scientific body has endorsed the alien insertion claim.</t>
  </si>
  <si>
    <t>The HR 1.23 figure is real and comes from a published Italian cohort study (Acuti Martellucci et al., 2025). However, the tweet omits critical context: the authors explicitly flag healthy vaccinee bias, unmeasured confounders, and the fact that the association disappears when a 12-month lag is applied and reverses with 3+ doses. The study itself calls the findings "preliminary" and does not support a causal claim.</t>
  </si>
  <si>
    <t>American Cancer Society JAMA analysis (January 2026) confirms colorectal cancer became the leading cause of cancer death in under-50s in the US in 2023, seven years earlier than projected.</t>
  </si>
  <si>
    <t>The Danish nationwide cohort study (JAMA Pediatrics, April 2026) covering 1.5 million children found no significant association between prenatal acetaminophen use and autism, consistent with a 2024 Swedish study and a 2025 Lancet analysis.</t>
  </si>
  <si>
    <t>A real trial exists (amivantamab, head and neck cancer, June 2026) where 15 of 102 patients saw complete tumor eradication -- impressive but not a universal result. The tweet's framing ("successfully eradicates entire tumors") implies consistent success, which overstates early-phase trial results.</t>
  </si>
  <si>
    <t>A new international study (reported June 2026, ~15,000 mother-parent pairs) found fertility problems linked to higher autism and ADHD symptoms regardless of IVF use, consistent with prior large cohort studies. Confidence is 2 because the association is real but the mechanism is debated and confounding by underlying parental factors is acknowledged by the researchers themselves.</t>
  </si>
  <si>
    <t>The Galiani et al. paper (SSRN, May 2026) is real and does find systematic severity-shifting in IPCC SPMs, but it is a preprint -- not yet peer-reviewed -- and the data files were not publicly available at time of posting. The tweet presents preliminary findings as established fact.</t>
  </si>
  <si>
    <t>The Swansea University review (Advances in Nutrition, June 2026) of exactly 73 studies is real and the quoted finding matches the lead author's own words verbatim.</t>
  </si>
  <si>
    <t>The UQ preprint (Research Square, August 2025) is real and shows promising rat data -- intranasal sol-gel achieving antipsychotic effect at 3.5% of the oral dose with reduced peripheral side effects. However, this is preclinical rodent research only, not yet peer-reviewed or tested in humans. The tweet's claim that it "could transform treatment" is speculative framing of early-stage results.</t>
  </si>
  <si>
    <t>The PNAS study (Stanford/UC San Diego, May 2026) is real -- electrical pulses reversed stem cell aging in sea squirts, with 75% survival at one year vs under 20% in controls. The quoted sentence matches the researchers' own framing. Confidence is 2 because the human implications are speculative and the study is in marine invertebrates only.</t>
  </si>
  <si>
    <t>The Stewart et al. review is real, peer-reviewed, and published in Carcinogenesis (March 2026). It accurately documents DNA damage, chronic inflammation, and carcinogenic chemicals -- all claims in the tweet are supported. Confidence is 2 because independent experts (UCL, Science Media Centre) criticised the review's methodology and note vaping exposes users to far fewer carcinogens than smoking, so the claim is contested among specialists.</t>
  </si>
  <si>
    <t>A JAMA Internal Medicine study (Mass General Brigham/Brown University, June 2026) from the 560-patient SAGES cohort confirms postoperative delirium is the strongest predictor of long-term cognitive decline, with a 40% faster rate of decline vs non-delirium patients over 6 years.</t>
  </si>
  <si>
    <t>The study referenced (Emanuel et al., Science, June 2026) is real -- based on 500,000+ Americans, it found remote work substantially increased isolation, anxiety, depression, mental health visits, and psychiatric prescriptions, particularly for those living alone. The tweet title matches the paper title exactly.</t>
  </si>
  <si>
    <t>The University of Oregon study (Current Biology, June 2026) is real -- researchers identified a specific neuron type in the lateral habenula of mice that fires proportionally to unmet reward expectations, accurately described as a "disappointment meter." The tweet's description matches the published findings.</t>
  </si>
  <si>
    <t>University of Oulu study published in Science (June 2026) demonstrates bumblebees spontaneously solved a novel object-manipulation task to reach a reward without being trained on the solution -- well-documented and peer-reviewed.</t>
  </si>
  <si>
    <t>N</t>
  </si>
  <si>
    <t>Y</t>
  </si>
  <si>
    <r>
      <t xml:space="preserve">Northern hemisphere large-scale atmospheric patterns (Hadley cell widening, subtropical jet displacement, polar vortex reorganization) have been empirically confirmed through published work in </t>
    </r>
    <r>
      <rPr>
        <i/>
        <sz val="11"/>
        <color theme="1"/>
        <rFont val="Calibri"/>
        <family val="2"/>
        <scheme val="minor"/>
      </rPr>
      <t>Geophysical Research Letters</t>
    </r>
    <r>
      <rPr>
        <sz val="11"/>
        <color theme="1"/>
        <rFont val="Calibri"/>
        <family val="2"/>
        <scheme val="minor"/>
      </rPr>
      <t xml:space="preserve"> and </t>
    </r>
    <r>
      <rPr>
        <i/>
        <sz val="11"/>
        <color theme="1"/>
        <rFont val="Calibri"/>
        <family val="2"/>
        <scheme val="minor"/>
      </rPr>
      <t>Nature</t>
    </r>
    <r>
      <rPr>
        <sz val="11"/>
        <color theme="1"/>
        <rFont val="Calibri"/>
        <family val="2"/>
        <scheme val="minor"/>
      </rPr>
      <t xml:space="preserve"> (Seidel et al. 2008; Staten et al. 2018; Chemke &amp; Polvani 2019). The tweet's cautious phrasing ("responding to") appropriately reflects current attribution science standards. Source credibility: AGU (American Geophysical Union).</t>
    </r>
  </si>
  <si>
    <t>Thermal tolerance variance between sexes and metabolic plasticity shifts in marine amphipods are supported by existing literature (Madeira et al. ongoing work; Crichton et al. 2023). The tweet originates from the lead researcher (@DianaSMadeira), providing direct author attribution and primary-source reliability. Sex-ratio shifts in warming conditions represent an established theoretical prediction for ectothermic organisms. [RESEARCHER-AUTHORED] Confidence 2: findings from a single study, not yet replicated across multiple populations/systems.</t>
  </si>
  <si>
    <t>Moderate (0.4–0.6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</si>
</sst>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3" x14ac:knownFonts="1">
    <font>
      <sz val="11"/>
      <color theme="1"/>
      <name val="Calibri"/>
      <family val="2"/>
      <scheme val="minor"/>
    </font>
    <font>
      <b/>
      <sz val="11"/>
      <color rgb="FFFFFFFF"/>
      <name val="Arial"/>
    </font>
    <font>
      <b/>
      <sz val="10"/>
      <color rgb="FFFFFFFF"/>
      <name val="Arial"/>
    </font>
    <font>
      <sz val="10"/>
      <color rgb="FF000000"/>
      <name val="Arial"/>
    </font>
    <font>
      <b/>
      <sz val="10"/>
      <color rgb="FF000000"/>
      <name val="Arial"/>
    </font>
    <font>
      <sz val="9"/>
      <color rgb="FF555555"/>
      <name val="Arial"/>
    </font>
    <font>
      <sz val="9"/>
      <color rgb="FF000000"/>
      <name val="Courier New"/>
    </font>
    <font>
      <b/>
      <sz val="13"/>
      <color rgb="FFFFFFFF"/>
      <name val="Arial"/>
    </font>
    <font>
      <sz val="9"/>
      <color rgb="FF000000"/>
      <name val="Arial"/>
    </font>
    <font>
      <b/>
      <sz val="9"/>
      <color rgb="FF000000"/>
      <name val="Arial"/>
    </font>
    <font>
      <u/>
      <sz val="11"/>
      <color theme="10"/>
      <name val="Calibri"/>
      <family val="2"/>
      <scheme val="minor"/>
    </font>
    <font>
      <sz val="10"/>
      <color rgb="FF000000"/>
      <name val="Arial"/>
      <family val="2"/>
    </font>
    <font>
      <i/>
      <sz val="11"/>
      <color theme="1"/>
      <name val="Calibri"/>
      <family val="2"/>
      <scheme val="minor"/>
    </font>
  </fonts>
  <fills count="15">
    <fill>
      <patternFill patternType="none"/>
    </fill>
    <fill>
      <patternFill patternType="gray125"/>
    </fill>
    <fill>
      <patternFill patternType="solid">
        <fgColor rgb="FF1F4E79"/>
      </patternFill>
    </fill>
    <fill>
      <patternFill patternType="solid">
        <fgColor rgb="FFC00000"/>
      </patternFill>
    </fill>
    <fill>
      <patternFill patternType="solid">
        <fgColor rgb="FF375623"/>
      </patternFill>
    </fill>
    <fill>
      <patternFill patternType="solid">
        <fgColor rgb="FF7030A0"/>
      </patternFill>
    </fill>
    <fill>
      <patternFill patternType="solid">
        <fgColor rgb="FF2E75B6"/>
      </patternFill>
    </fill>
    <fill>
      <patternFill patternType="solid">
        <fgColor rgb="FFFFFFFF"/>
      </patternFill>
    </fill>
    <fill>
      <patternFill patternType="solid">
        <fgColor rgb="FFEBF3FB"/>
      </patternFill>
    </fill>
    <fill>
      <patternFill patternType="solid">
        <fgColor rgb="FFF2F2F2"/>
      </patternFill>
    </fill>
    <fill>
      <patternFill patternType="solid">
        <fgColor rgb="FFF4F4F4"/>
      </patternFill>
    </fill>
    <fill>
      <patternFill patternType="solid">
        <fgColor rgb="FFC6EFCE"/>
      </patternFill>
    </fill>
    <fill>
      <patternFill patternType="solid">
        <fgColor rgb="FFFFC7CE"/>
      </patternFill>
    </fill>
    <fill>
      <patternFill patternType="solid">
        <fgColor rgb="FFFFEB9C"/>
      </patternFill>
    </fill>
    <fill>
      <patternFill patternType="solid">
        <fgColor rgb="FFC00000"/>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bottom/>
      <diagonal/>
    </border>
    <border>
      <left/>
      <right style="thin">
        <color rgb="FFCCCCCC"/>
      </right>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s>
  <cellStyleXfs count="2">
    <xf numFmtId="0" fontId="0" fillId="0" borderId="0"/>
    <xf numFmtId="0" fontId="10" fillId="0" borderId="0"/>
  </cellStyleXfs>
  <cellXfs count="49">
    <xf numFmtId="0" fontId="0" fillId="0" borderId="0" xfId="0"/>
    <xf numFmtId="0" fontId="1" fillId="2"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164" fontId="3" fillId="9" borderId="1" xfId="0" applyNumberFormat="1" applyFont="1" applyFill="1" applyBorder="1" applyAlignment="1">
      <alignment horizontal="center" vertical="center" wrapText="1"/>
    </xf>
    <xf numFmtId="0" fontId="5" fillId="7"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8" fillId="11" borderId="1" xfId="0" applyFont="1" applyFill="1" applyBorder="1" applyAlignment="1">
      <alignment horizontal="left" vertical="center" wrapText="1"/>
    </xf>
    <xf numFmtId="0" fontId="9"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8" fillId="12" borderId="1" xfId="0" applyFont="1" applyFill="1" applyBorder="1" applyAlignment="1">
      <alignment horizontal="left" vertical="center" wrapText="1"/>
    </xf>
    <xf numFmtId="0" fontId="9"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8" fillId="13" borderId="1" xfId="0" applyFont="1" applyFill="1" applyBorder="1" applyAlignment="1">
      <alignment horizontal="left" vertical="center" wrapText="1"/>
    </xf>
    <xf numFmtId="0" fontId="9" fillId="13"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10" fillId="7" borderId="1" xfId="1" applyFill="1" applyBorder="1" applyAlignment="1">
      <alignment horizontal="left" vertical="center" wrapText="1"/>
    </xf>
    <xf numFmtId="0" fontId="10" fillId="8" borderId="1" xfId="1" applyFill="1" applyBorder="1" applyAlignment="1">
      <alignment horizontal="left" vertical="center" wrapText="1"/>
    </xf>
    <xf numFmtId="0" fontId="11" fillId="7"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0" fillId="0" borderId="0" xfId="0" applyAlignment="1">
      <alignment wrapText="1"/>
    </xf>
    <xf numFmtId="165" fontId="3" fillId="9" borderId="1" xfId="0" applyNumberFormat="1" applyFont="1" applyFill="1" applyBorder="1" applyAlignment="1">
      <alignment horizontal="center" vertical="center" wrapText="1"/>
    </xf>
    <xf numFmtId="0" fontId="6" fillId="10"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0" xfId="0"/>
    <xf numFmtId="0" fontId="0" fillId="0" borderId="7" xfId="0" applyBorder="1"/>
    <xf numFmtId="0" fontId="0" fillId="0" borderId="8" xfId="0" applyBorder="1"/>
    <xf numFmtId="0" fontId="0" fillId="0" borderId="9" xfId="0" applyBorder="1"/>
    <xf numFmtId="0" fontId="0" fillId="0" borderId="10" xfId="0" applyBorder="1"/>
    <xf numFmtId="0" fontId="1" fillId="14" borderId="1" xfId="0" applyFont="1" applyFill="1" applyBorder="1" applyAlignment="1">
      <alignment horizontal="center" vertical="center" wrapText="1"/>
    </xf>
    <xf numFmtId="0" fontId="0" fillId="0" borderId="4" xfId="0" applyBorder="1"/>
    <xf numFmtId="0" fontId="0" fillId="0" borderId="5" xfId="0" applyBorder="1"/>
    <xf numFmtId="0" fontId="1" fillId="2"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7" fillId="2"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E7453D3-E6AB-4962-9EA5-45E1C8FE9ED1}">
  <we:reference id="wa200009404" version="1.0.0.8" store="en-US" storeType="OMEX"/>
  <we:alternateReferences>
    <we:reference id="WA200009404" version="1.0.0.8" store="" storeType="OMEX"/>
  </we:alternateReferences>
  <we:properties>
    <we:property name="claude.fileId" value="&quot;f25279c2-d5e6-483a-ba46-c0612974f9ac&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2"/>
  <sheetViews>
    <sheetView showGridLines="0" topLeftCell="H1" workbookViewId="0">
      <pane ySplit="2" topLeftCell="A3" activePane="bottomLeft" state="frozen"/>
      <selection pane="bottomLeft" activeCell="P3" sqref="P3"/>
    </sheetView>
  </sheetViews>
  <sheetFormatPr defaultRowHeight="14.4" x14ac:dyDescent="0.3"/>
  <cols>
    <col min="1" max="1" width="5" customWidth="1"/>
    <col min="2" max="2" width="48" style="28" customWidth="1"/>
    <col min="3" max="3" width="26" customWidth="1"/>
    <col min="4" max="4" width="16" customWidth="1"/>
    <col min="5" max="5" width="12" hidden="1" customWidth="1"/>
    <col min="6" max="6" width="13" hidden="1" customWidth="1"/>
    <col min="7" max="7" width="30" hidden="1" customWidth="1"/>
    <col min="8" max="10" width="30" customWidth="1"/>
    <col min="11" max="11" width="17.88671875" customWidth="1"/>
    <col min="12" max="12" width="20.44140625" customWidth="1"/>
    <col min="13" max="13" width="30" customWidth="1"/>
    <col min="14" max="14" width="9.5546875" customWidth="1"/>
    <col min="15" max="16" width="12" customWidth="1"/>
    <col min="17" max="17" width="30" hidden="1" customWidth="1"/>
    <col min="18" max="18" width="48" customWidth="1"/>
    <col min="19" max="19" width="14" customWidth="1"/>
  </cols>
  <sheetData>
    <row r="1" spans="1:19" ht="19.95" customHeight="1" x14ac:dyDescent="0.3">
      <c r="A1" s="42" t="s">
        <v>0</v>
      </c>
      <c r="B1" s="40"/>
      <c r="C1" s="40"/>
      <c r="D1" s="41"/>
      <c r="E1" s="45" t="s">
        <v>1</v>
      </c>
      <c r="F1" s="40"/>
      <c r="G1" s="41"/>
      <c r="H1" s="39" t="s">
        <v>1</v>
      </c>
      <c r="I1" s="40"/>
      <c r="J1" s="41"/>
      <c r="K1" s="46" t="s">
        <v>2</v>
      </c>
      <c r="L1" s="40"/>
      <c r="M1" s="41"/>
      <c r="N1" s="43" t="s">
        <v>3</v>
      </c>
      <c r="O1" s="40"/>
      <c r="P1" s="40"/>
      <c r="Q1" s="41"/>
      <c r="R1" s="44" t="s">
        <v>4</v>
      </c>
      <c r="S1" s="41"/>
    </row>
    <row r="2" spans="1:19" ht="36" customHeight="1" x14ac:dyDescent="0.3">
      <c r="A2" s="3" t="s">
        <v>5</v>
      </c>
      <c r="B2" s="3" t="s">
        <v>6</v>
      </c>
      <c r="C2" s="3" t="s">
        <v>7</v>
      </c>
      <c r="D2" s="3" t="s">
        <v>8</v>
      </c>
      <c r="E2" s="3" t="s">
        <v>9</v>
      </c>
      <c r="F2" s="3" t="s">
        <v>10</v>
      </c>
      <c r="G2" s="3" t="s">
        <v>11</v>
      </c>
      <c r="H2" s="3" t="s">
        <v>9</v>
      </c>
      <c r="I2" s="3" t="s">
        <v>10</v>
      </c>
      <c r="J2" s="3" t="s">
        <v>11</v>
      </c>
      <c r="K2" s="3" t="s">
        <v>12</v>
      </c>
      <c r="L2" s="3" t="s">
        <v>13</v>
      </c>
      <c r="M2" s="3" t="s">
        <v>14</v>
      </c>
      <c r="N2" s="3" t="s">
        <v>15</v>
      </c>
      <c r="O2" s="3" t="s">
        <v>16</v>
      </c>
      <c r="P2" s="3" t="s">
        <v>17</v>
      </c>
      <c r="Q2" s="3" t="s">
        <v>18</v>
      </c>
      <c r="R2" s="3" t="s">
        <v>19</v>
      </c>
      <c r="S2" s="3" t="s">
        <v>20</v>
      </c>
    </row>
    <row r="3" spans="1:19" ht="76.8" customHeight="1" x14ac:dyDescent="0.3">
      <c r="A3" s="4" t="s">
        <v>21</v>
      </c>
      <c r="B3" s="28" t="s">
        <v>22</v>
      </c>
      <c r="C3" s="24" t="s">
        <v>23</v>
      </c>
      <c r="D3" s="26" t="s">
        <v>24</v>
      </c>
      <c r="E3" s="5" t="s">
        <v>25</v>
      </c>
      <c r="F3" s="5">
        <v>3</v>
      </c>
      <c r="G3" s="5" t="s">
        <v>26</v>
      </c>
      <c r="H3" s="5" t="b">
        <v>1</v>
      </c>
      <c r="I3" s="5">
        <v>3</v>
      </c>
      <c r="J3" s="5" t="s">
        <v>272</v>
      </c>
      <c r="K3" s="5" t="s">
        <v>33</v>
      </c>
      <c r="L3" s="5">
        <v>2</v>
      </c>
      <c r="M3" s="5" t="s">
        <v>302</v>
      </c>
      <c r="N3" s="6" t="s">
        <v>330</v>
      </c>
      <c r="O3" s="5" t="s">
        <v>33</v>
      </c>
      <c r="P3" s="6"/>
      <c r="Q3" s="5" t="s">
        <v>27</v>
      </c>
      <c r="R3" s="5" t="s">
        <v>28</v>
      </c>
      <c r="S3" s="5"/>
    </row>
    <row r="4" spans="1:19" ht="59.4" customHeight="1" x14ac:dyDescent="0.3">
      <c r="A4" s="4" t="s">
        <v>29</v>
      </c>
      <c r="B4" s="28" t="s">
        <v>30</v>
      </c>
      <c r="C4" s="25" t="s">
        <v>31</v>
      </c>
      <c r="D4" s="26" t="s">
        <v>32</v>
      </c>
      <c r="E4" s="7" t="s">
        <v>33</v>
      </c>
      <c r="F4" s="7">
        <v>2</v>
      </c>
      <c r="G4" s="7" t="s">
        <v>34</v>
      </c>
      <c r="H4" s="7" t="s">
        <v>33</v>
      </c>
      <c r="I4" s="7">
        <v>2</v>
      </c>
      <c r="J4" s="7" t="s">
        <v>273</v>
      </c>
      <c r="K4" s="7" t="s">
        <v>33</v>
      </c>
      <c r="L4" s="7">
        <v>2</v>
      </c>
      <c r="M4" s="7" t="s">
        <v>303</v>
      </c>
      <c r="N4" s="8" t="s">
        <v>330</v>
      </c>
      <c r="O4" s="7" t="b">
        <v>0</v>
      </c>
      <c r="P4" s="8"/>
      <c r="Q4" s="7" t="s">
        <v>35</v>
      </c>
      <c r="R4" s="7" t="s">
        <v>36</v>
      </c>
      <c r="S4" s="7"/>
    </row>
    <row r="5" spans="1:19" ht="99" customHeight="1" x14ac:dyDescent="0.3">
      <c r="A5" s="4" t="s">
        <v>37</v>
      </c>
      <c r="B5" s="28" t="s">
        <v>38</v>
      </c>
      <c r="C5" s="24" t="s">
        <v>39</v>
      </c>
      <c r="D5" s="26" t="s">
        <v>40</v>
      </c>
      <c r="E5" s="5" t="s">
        <v>41</v>
      </c>
      <c r="F5" s="5">
        <v>2</v>
      </c>
      <c r="G5" s="5" t="s">
        <v>42</v>
      </c>
      <c r="H5" s="5" t="b">
        <v>0</v>
      </c>
      <c r="I5" s="5">
        <v>2</v>
      </c>
      <c r="J5" s="5" t="s">
        <v>274</v>
      </c>
      <c r="K5" s="5" t="b">
        <v>0</v>
      </c>
      <c r="L5" s="5">
        <v>2</v>
      </c>
      <c r="M5" s="5" t="s">
        <v>304</v>
      </c>
      <c r="N5" s="6" t="s">
        <v>330</v>
      </c>
      <c r="O5" s="5" t="b">
        <f>FALSE()</f>
        <v>0</v>
      </c>
      <c r="P5" s="6"/>
      <c r="Q5" s="5" t="s">
        <v>43</v>
      </c>
      <c r="R5" s="5" t="s">
        <v>44</v>
      </c>
      <c r="S5" s="5"/>
    </row>
    <row r="6" spans="1:19" ht="96" customHeight="1" x14ac:dyDescent="0.3">
      <c r="A6" s="4" t="s">
        <v>45</v>
      </c>
      <c r="B6" s="28" t="s">
        <v>46</v>
      </c>
      <c r="C6" s="25" t="s">
        <v>47</v>
      </c>
      <c r="D6" s="27" t="s">
        <v>32</v>
      </c>
      <c r="E6" s="7" t="s">
        <v>33</v>
      </c>
      <c r="F6" s="7">
        <v>2</v>
      </c>
      <c r="G6" s="7" t="s">
        <v>48</v>
      </c>
      <c r="H6" s="7" t="s">
        <v>33</v>
      </c>
      <c r="I6" s="7">
        <v>2</v>
      </c>
      <c r="J6" s="7" t="s">
        <v>275</v>
      </c>
      <c r="K6" s="7" t="s">
        <v>33</v>
      </c>
      <c r="L6" s="7">
        <v>2</v>
      </c>
      <c r="M6" s="7" t="s">
        <v>305</v>
      </c>
      <c r="N6" s="8" t="s">
        <v>330</v>
      </c>
      <c r="O6" s="7" t="b">
        <v>0</v>
      </c>
      <c r="P6" s="8"/>
      <c r="Q6" s="7" t="s">
        <v>49</v>
      </c>
      <c r="R6" s="7" t="s">
        <v>50</v>
      </c>
      <c r="S6" s="7"/>
    </row>
    <row r="7" spans="1:19" ht="120" customHeight="1" x14ac:dyDescent="0.3">
      <c r="A7" s="4" t="s">
        <v>51</v>
      </c>
      <c r="B7" s="28" t="s">
        <v>52</v>
      </c>
      <c r="C7" s="24" t="s">
        <v>53</v>
      </c>
      <c r="D7" s="26" t="s">
        <v>54</v>
      </c>
      <c r="E7" s="5" t="s">
        <v>33</v>
      </c>
      <c r="F7" s="5">
        <v>2</v>
      </c>
      <c r="G7" s="26" t="s">
        <v>55</v>
      </c>
      <c r="H7" s="26" t="s">
        <v>33</v>
      </c>
      <c r="I7" s="26">
        <v>2</v>
      </c>
      <c r="J7" s="26" t="s">
        <v>276</v>
      </c>
      <c r="K7" s="5" t="b">
        <v>1</v>
      </c>
      <c r="L7" s="5">
        <v>2</v>
      </c>
      <c r="M7" s="5" t="s">
        <v>306</v>
      </c>
      <c r="N7" s="6" t="s">
        <v>329</v>
      </c>
      <c r="O7" s="5" t="s">
        <v>33</v>
      </c>
      <c r="P7" s="6" t="s">
        <v>262</v>
      </c>
      <c r="Q7" s="26" t="s">
        <v>56</v>
      </c>
      <c r="R7" s="26" t="s">
        <v>57</v>
      </c>
      <c r="S7" s="5"/>
    </row>
    <row r="8" spans="1:19" ht="81.599999999999994" customHeight="1" x14ac:dyDescent="0.3">
      <c r="A8" s="4" t="s">
        <v>58</v>
      </c>
      <c r="B8" s="28" t="s">
        <v>59</v>
      </c>
      <c r="C8" s="25" t="s">
        <v>60</v>
      </c>
      <c r="D8" s="26" t="s">
        <v>61</v>
      </c>
      <c r="E8" s="7" t="s">
        <v>25</v>
      </c>
      <c r="F8" s="7">
        <v>2</v>
      </c>
      <c r="G8" s="27" t="s">
        <v>62</v>
      </c>
      <c r="H8" s="27" t="b">
        <v>1</v>
      </c>
      <c r="I8" s="27">
        <v>2</v>
      </c>
      <c r="J8" s="27" t="s">
        <v>277</v>
      </c>
      <c r="K8" s="7" t="b">
        <v>1</v>
      </c>
      <c r="L8" s="7">
        <v>3</v>
      </c>
      <c r="M8" s="27" t="s">
        <v>307</v>
      </c>
      <c r="N8" s="8" t="s">
        <v>330</v>
      </c>
      <c r="O8" s="7" t="b">
        <f>TRUE()</f>
        <v>1</v>
      </c>
      <c r="P8" s="8"/>
      <c r="Q8" s="27" t="s">
        <v>63</v>
      </c>
      <c r="R8" s="27" t="s">
        <v>64</v>
      </c>
      <c r="S8" s="7"/>
    </row>
    <row r="9" spans="1:19" ht="82.8" customHeight="1" x14ac:dyDescent="0.3">
      <c r="A9" s="4" t="s">
        <v>65</v>
      </c>
      <c r="B9" s="28" t="s">
        <v>66</v>
      </c>
      <c r="C9" s="24" t="s">
        <v>67</v>
      </c>
      <c r="D9" s="26" t="s">
        <v>61</v>
      </c>
      <c r="E9" s="5" t="s">
        <v>25</v>
      </c>
      <c r="F9" s="5">
        <v>2</v>
      </c>
      <c r="G9" s="26" t="s">
        <v>68</v>
      </c>
      <c r="H9" s="26" t="b">
        <v>1</v>
      </c>
      <c r="I9" s="26">
        <v>2</v>
      </c>
      <c r="J9" s="26" t="s">
        <v>278</v>
      </c>
      <c r="K9" s="5" t="b">
        <v>1</v>
      </c>
      <c r="L9" s="5">
        <v>2</v>
      </c>
      <c r="M9" s="5" t="s">
        <v>308</v>
      </c>
      <c r="N9" s="6" t="s">
        <v>330</v>
      </c>
      <c r="O9" s="5" t="b">
        <v>1</v>
      </c>
      <c r="P9" s="6"/>
      <c r="Q9" s="26" t="s">
        <v>69</v>
      </c>
      <c r="R9" s="26" t="s">
        <v>70</v>
      </c>
      <c r="S9" s="5"/>
    </row>
    <row r="10" spans="1:19" ht="94.8" customHeight="1" x14ac:dyDescent="0.3">
      <c r="A10" s="4" t="s">
        <v>71</v>
      </c>
      <c r="B10" s="28" t="s">
        <v>72</v>
      </c>
      <c r="C10" s="25" t="s">
        <v>73</v>
      </c>
      <c r="D10" s="27" t="s">
        <v>74</v>
      </c>
      <c r="E10" s="7" t="s">
        <v>25</v>
      </c>
      <c r="F10" s="7">
        <v>3</v>
      </c>
      <c r="G10" s="27" t="s">
        <v>75</v>
      </c>
      <c r="H10" s="27" t="b">
        <v>1</v>
      </c>
      <c r="I10" s="27">
        <v>3</v>
      </c>
      <c r="J10" s="27" t="s">
        <v>279</v>
      </c>
      <c r="K10" s="7" t="b">
        <v>1</v>
      </c>
      <c r="L10" s="7">
        <v>3</v>
      </c>
      <c r="M10" s="7" t="s">
        <v>309</v>
      </c>
      <c r="N10" s="8" t="s">
        <v>330</v>
      </c>
      <c r="O10" s="7" t="b">
        <v>1</v>
      </c>
      <c r="P10" s="8"/>
      <c r="Q10" s="27" t="s">
        <v>76</v>
      </c>
      <c r="R10" s="27" t="s">
        <v>77</v>
      </c>
      <c r="S10" s="7"/>
    </row>
    <row r="11" spans="1:19" ht="55.05" customHeight="1" x14ac:dyDescent="0.3">
      <c r="A11" s="4" t="s">
        <v>78</v>
      </c>
      <c r="B11" s="28" t="s">
        <v>79</v>
      </c>
      <c r="C11" s="24" t="s">
        <v>80</v>
      </c>
      <c r="D11" s="26" t="s">
        <v>81</v>
      </c>
      <c r="E11" s="5" t="s">
        <v>25</v>
      </c>
      <c r="F11" s="5">
        <v>2</v>
      </c>
      <c r="G11" s="26" t="s">
        <v>82</v>
      </c>
      <c r="H11" s="26" t="b">
        <v>1</v>
      </c>
      <c r="I11" s="26">
        <v>2</v>
      </c>
      <c r="J11" s="26" t="s">
        <v>280</v>
      </c>
      <c r="K11" s="5" t="b">
        <v>1</v>
      </c>
      <c r="L11" s="5">
        <v>3</v>
      </c>
      <c r="M11" s="5" t="s">
        <v>310</v>
      </c>
      <c r="N11" s="6" t="s">
        <v>330</v>
      </c>
      <c r="O11" s="5" t="b">
        <v>1</v>
      </c>
      <c r="P11" s="6"/>
      <c r="Q11" s="26" t="s">
        <v>83</v>
      </c>
      <c r="R11" s="26" t="s">
        <v>84</v>
      </c>
      <c r="S11" s="5"/>
    </row>
    <row r="12" spans="1:19" ht="78" customHeight="1" x14ac:dyDescent="0.3">
      <c r="A12" s="4" t="s">
        <v>85</v>
      </c>
      <c r="B12" s="28" t="s">
        <v>86</v>
      </c>
      <c r="C12" s="25" t="s">
        <v>87</v>
      </c>
      <c r="D12" s="27" t="s">
        <v>81</v>
      </c>
      <c r="E12" s="7" t="s">
        <v>25</v>
      </c>
      <c r="F12" s="7">
        <v>2</v>
      </c>
      <c r="G12" s="27" t="s">
        <v>88</v>
      </c>
      <c r="H12" s="27" t="b">
        <v>1</v>
      </c>
      <c r="I12" s="27">
        <v>2</v>
      </c>
      <c r="J12" s="27" t="s">
        <v>281</v>
      </c>
      <c r="K12" s="7" t="s">
        <v>33</v>
      </c>
      <c r="L12" s="7">
        <v>2</v>
      </c>
      <c r="M12" s="7" t="s">
        <v>311</v>
      </c>
      <c r="N12" s="8" t="s">
        <v>329</v>
      </c>
      <c r="O12" s="7" t="s">
        <v>33</v>
      </c>
      <c r="P12" s="8" t="s">
        <v>262</v>
      </c>
      <c r="Q12" s="27" t="s">
        <v>89</v>
      </c>
      <c r="R12" s="27" t="s">
        <v>90</v>
      </c>
      <c r="S12" s="7"/>
    </row>
    <row r="13" spans="1:19" ht="88.2" customHeight="1" x14ac:dyDescent="0.3">
      <c r="A13" s="4" t="s">
        <v>91</v>
      </c>
      <c r="B13" s="28" t="s">
        <v>92</v>
      </c>
      <c r="C13" s="24" t="s">
        <v>93</v>
      </c>
      <c r="D13" s="26" t="s">
        <v>94</v>
      </c>
      <c r="E13" s="5" t="s">
        <v>33</v>
      </c>
      <c r="F13" s="5">
        <v>2</v>
      </c>
      <c r="G13" s="26" t="s">
        <v>95</v>
      </c>
      <c r="H13" s="26" t="s">
        <v>33</v>
      </c>
      <c r="I13" s="26">
        <v>2</v>
      </c>
      <c r="J13" s="26" t="s">
        <v>282</v>
      </c>
      <c r="K13" s="5" t="s">
        <v>33</v>
      </c>
      <c r="L13" s="5">
        <v>2</v>
      </c>
      <c r="M13" s="5" t="s">
        <v>312</v>
      </c>
      <c r="N13" s="6" t="s">
        <v>330</v>
      </c>
      <c r="O13" s="5" t="s">
        <v>33</v>
      </c>
      <c r="P13" s="6"/>
      <c r="Q13" s="26" t="s">
        <v>96</v>
      </c>
      <c r="R13" s="26" t="s">
        <v>97</v>
      </c>
      <c r="S13" s="5"/>
    </row>
    <row r="14" spans="1:19" ht="55.05" customHeight="1" x14ac:dyDescent="0.3">
      <c r="A14" s="4" t="s">
        <v>98</v>
      </c>
      <c r="B14" s="28" t="s">
        <v>99</v>
      </c>
      <c r="C14" s="25" t="s">
        <v>100</v>
      </c>
      <c r="D14" s="27" t="s">
        <v>101</v>
      </c>
      <c r="E14" s="7" t="s">
        <v>25</v>
      </c>
      <c r="F14" s="7">
        <v>3</v>
      </c>
      <c r="G14" s="27" t="s">
        <v>102</v>
      </c>
      <c r="H14" s="27" t="b">
        <v>1</v>
      </c>
      <c r="I14" s="27">
        <v>3</v>
      </c>
      <c r="J14" s="27" t="s">
        <v>283</v>
      </c>
      <c r="K14" s="7" t="b">
        <v>1</v>
      </c>
      <c r="L14" s="7">
        <v>3</v>
      </c>
      <c r="M14" s="7" t="s">
        <v>313</v>
      </c>
      <c r="N14" s="8" t="s">
        <v>330</v>
      </c>
      <c r="O14" s="7" t="b">
        <f>TRUE()</f>
        <v>1</v>
      </c>
      <c r="P14" s="8"/>
      <c r="Q14" s="27" t="s">
        <v>103</v>
      </c>
      <c r="R14" s="27" t="s">
        <v>104</v>
      </c>
      <c r="S14" s="7"/>
    </row>
    <row r="15" spans="1:19" ht="55.05" customHeight="1" x14ac:dyDescent="0.3">
      <c r="A15" s="4" t="s">
        <v>105</v>
      </c>
      <c r="B15" s="28" t="s">
        <v>106</v>
      </c>
      <c r="C15" s="24" t="s">
        <v>107</v>
      </c>
      <c r="D15" s="26" t="s">
        <v>108</v>
      </c>
      <c r="E15" s="5" t="s">
        <v>25</v>
      </c>
      <c r="F15" s="5">
        <v>2</v>
      </c>
      <c r="G15" s="26" t="s">
        <v>109</v>
      </c>
      <c r="H15" s="26" t="b">
        <v>1</v>
      </c>
      <c r="I15" s="26">
        <v>2</v>
      </c>
      <c r="J15" s="26" t="s">
        <v>284</v>
      </c>
      <c r="K15" s="5" t="b">
        <v>0</v>
      </c>
      <c r="L15" s="5">
        <v>3</v>
      </c>
      <c r="M15" s="5" t="s">
        <v>314</v>
      </c>
      <c r="N15" s="6" t="s">
        <v>329</v>
      </c>
      <c r="O15" s="5" t="s">
        <v>33</v>
      </c>
      <c r="P15" s="6" t="s">
        <v>262</v>
      </c>
      <c r="Q15" s="26" t="s">
        <v>110</v>
      </c>
      <c r="R15" s="26" t="s">
        <v>111</v>
      </c>
      <c r="S15" s="5"/>
    </row>
    <row r="16" spans="1:19" ht="55.05" customHeight="1" x14ac:dyDescent="0.3">
      <c r="A16" s="4" t="s">
        <v>112</v>
      </c>
      <c r="B16" s="28" t="s">
        <v>113</v>
      </c>
      <c r="C16" s="25" t="s">
        <v>114</v>
      </c>
      <c r="D16" s="27" t="s">
        <v>115</v>
      </c>
      <c r="E16" s="7" t="s">
        <v>25</v>
      </c>
      <c r="F16" s="7">
        <v>2</v>
      </c>
      <c r="G16" s="27" t="s">
        <v>116</v>
      </c>
      <c r="H16" s="27" t="b">
        <v>1</v>
      </c>
      <c r="I16" s="27">
        <v>2</v>
      </c>
      <c r="J16" s="27" t="s">
        <v>285</v>
      </c>
      <c r="K16" s="7" t="b">
        <v>1</v>
      </c>
      <c r="L16" s="7">
        <v>3</v>
      </c>
      <c r="M16" s="7" t="s">
        <v>113</v>
      </c>
      <c r="N16" s="8" t="s">
        <v>330</v>
      </c>
      <c r="O16" s="7" t="b">
        <v>1</v>
      </c>
      <c r="P16" s="8"/>
      <c r="Q16" s="27" t="s">
        <v>117</v>
      </c>
      <c r="R16" s="27" t="s">
        <v>118</v>
      </c>
      <c r="S16" s="7"/>
    </row>
    <row r="17" spans="1:19" ht="55.05" customHeight="1" x14ac:dyDescent="0.3">
      <c r="A17" s="4" t="s">
        <v>119</v>
      </c>
      <c r="B17" s="28" t="s">
        <v>120</v>
      </c>
      <c r="C17" s="24" t="s">
        <v>121</v>
      </c>
      <c r="D17" s="5" t="s">
        <v>61</v>
      </c>
      <c r="E17" s="5" t="s">
        <v>41</v>
      </c>
      <c r="F17" s="5">
        <v>2</v>
      </c>
      <c r="G17" s="26" t="s">
        <v>122</v>
      </c>
      <c r="H17" s="26" t="b">
        <v>0</v>
      </c>
      <c r="I17" s="26">
        <v>2</v>
      </c>
      <c r="J17" s="26" t="s">
        <v>286</v>
      </c>
      <c r="K17" s="5" t="s">
        <v>33</v>
      </c>
      <c r="L17" s="5">
        <v>2</v>
      </c>
      <c r="M17" s="5" t="s">
        <v>315</v>
      </c>
      <c r="N17" s="6" t="s">
        <v>329</v>
      </c>
      <c r="O17" s="5" t="s">
        <v>33</v>
      </c>
      <c r="P17" s="6" t="s">
        <v>262</v>
      </c>
      <c r="Q17" s="26" t="s">
        <v>123</v>
      </c>
      <c r="R17" s="26" t="s">
        <v>124</v>
      </c>
      <c r="S17" s="5"/>
    </row>
    <row r="18" spans="1:19" ht="55.05" customHeight="1" x14ac:dyDescent="0.3">
      <c r="A18" s="4" t="s">
        <v>125</v>
      </c>
      <c r="B18" s="28" t="s">
        <v>126</v>
      </c>
      <c r="C18" s="25" t="s">
        <v>127</v>
      </c>
      <c r="D18" s="7" t="s">
        <v>81</v>
      </c>
      <c r="E18" s="7" t="s">
        <v>25</v>
      </c>
      <c r="F18" s="7">
        <v>3</v>
      </c>
      <c r="G18" s="27" t="s">
        <v>128</v>
      </c>
      <c r="H18" s="27" t="b">
        <v>1</v>
      </c>
      <c r="I18" s="27">
        <v>3</v>
      </c>
      <c r="J18" s="27" t="s">
        <v>287</v>
      </c>
      <c r="K18" s="7" t="b">
        <v>1</v>
      </c>
      <c r="L18" s="7">
        <v>3</v>
      </c>
      <c r="M18" s="7" t="s">
        <v>316</v>
      </c>
      <c r="N18" s="8" t="s">
        <v>330</v>
      </c>
      <c r="O18" s="7" t="b">
        <v>1</v>
      </c>
      <c r="P18" s="8"/>
      <c r="Q18" s="27" t="s">
        <v>129</v>
      </c>
      <c r="R18" s="27" t="s">
        <v>130</v>
      </c>
      <c r="S18" s="7"/>
    </row>
    <row r="19" spans="1:19" ht="55.05" customHeight="1" x14ac:dyDescent="0.3">
      <c r="A19" s="4" t="s">
        <v>131</v>
      </c>
      <c r="B19" s="28" t="s">
        <v>132</v>
      </c>
      <c r="C19" s="24" t="s">
        <v>133</v>
      </c>
      <c r="D19" s="5" t="s">
        <v>134</v>
      </c>
      <c r="E19" s="5" t="s">
        <v>25</v>
      </c>
      <c r="F19" s="5">
        <v>2</v>
      </c>
      <c r="G19" s="26" t="s">
        <v>135</v>
      </c>
      <c r="H19" s="26" t="b">
        <v>1</v>
      </c>
      <c r="I19" s="26">
        <v>2</v>
      </c>
      <c r="J19" s="26" t="s">
        <v>288</v>
      </c>
      <c r="K19" s="5" t="b">
        <v>1</v>
      </c>
      <c r="L19" s="5">
        <v>3</v>
      </c>
      <c r="M19" s="5" t="s">
        <v>317</v>
      </c>
      <c r="N19" s="6" t="s">
        <v>330</v>
      </c>
      <c r="O19" s="5" t="b">
        <v>1</v>
      </c>
      <c r="P19" s="6"/>
      <c r="Q19" s="26" t="s">
        <v>136</v>
      </c>
      <c r="R19" s="26" t="s">
        <v>137</v>
      </c>
      <c r="S19" s="5"/>
    </row>
    <row r="20" spans="1:19" ht="55.05" customHeight="1" x14ac:dyDescent="0.3">
      <c r="A20" s="4" t="s">
        <v>138</v>
      </c>
      <c r="B20" s="28" t="s">
        <v>139</v>
      </c>
      <c r="C20" s="25" t="s">
        <v>140</v>
      </c>
      <c r="D20" s="27" t="s">
        <v>81</v>
      </c>
      <c r="E20" s="7" t="s">
        <v>33</v>
      </c>
      <c r="F20" s="7">
        <v>2</v>
      </c>
      <c r="G20" s="27" t="s">
        <v>141</v>
      </c>
      <c r="H20" s="27" t="s">
        <v>33</v>
      </c>
      <c r="I20" s="27">
        <v>2</v>
      </c>
      <c r="J20" s="27" t="s">
        <v>289</v>
      </c>
      <c r="K20" s="7" t="s">
        <v>33</v>
      </c>
      <c r="L20" s="7">
        <v>2</v>
      </c>
      <c r="M20" s="7" t="s">
        <v>318</v>
      </c>
      <c r="N20" s="8" t="s">
        <v>330</v>
      </c>
      <c r="O20" s="7" t="s">
        <v>33</v>
      </c>
      <c r="P20" s="8"/>
      <c r="Q20" s="27" t="s">
        <v>142</v>
      </c>
      <c r="R20" s="27" t="s">
        <v>143</v>
      </c>
      <c r="S20" s="7"/>
    </row>
    <row r="21" spans="1:19" ht="55.05" customHeight="1" x14ac:dyDescent="0.3">
      <c r="A21" s="4" t="s">
        <v>144</v>
      </c>
      <c r="B21" s="28" t="s">
        <v>145</v>
      </c>
      <c r="C21" s="24" t="s">
        <v>146</v>
      </c>
      <c r="D21" s="5" t="s">
        <v>40</v>
      </c>
      <c r="E21" s="5" t="s">
        <v>25</v>
      </c>
      <c r="F21" s="5">
        <v>3</v>
      </c>
      <c r="G21" s="26" t="s">
        <v>147</v>
      </c>
      <c r="H21" s="26" t="b">
        <v>1</v>
      </c>
      <c r="I21" s="26">
        <v>3</v>
      </c>
      <c r="J21" s="26" t="s">
        <v>290</v>
      </c>
      <c r="K21" s="5" t="b">
        <v>1</v>
      </c>
      <c r="L21" s="5">
        <v>2</v>
      </c>
      <c r="M21" s="28" t="s">
        <v>331</v>
      </c>
      <c r="N21" s="6" t="s">
        <v>330</v>
      </c>
      <c r="O21" s="5" t="b">
        <v>1</v>
      </c>
      <c r="P21" s="6"/>
      <c r="Q21" s="26" t="s">
        <v>148</v>
      </c>
      <c r="R21" s="26" t="s">
        <v>149</v>
      </c>
      <c r="S21" s="5"/>
    </row>
    <row r="22" spans="1:19" ht="55.05" customHeight="1" x14ac:dyDescent="0.3">
      <c r="A22" s="4" t="s">
        <v>150</v>
      </c>
      <c r="B22" s="27" t="s">
        <v>151</v>
      </c>
      <c r="C22" s="25" t="s">
        <v>152</v>
      </c>
      <c r="D22" s="27" t="s">
        <v>153</v>
      </c>
      <c r="E22" s="7" t="s">
        <v>25</v>
      </c>
      <c r="F22" s="7">
        <v>2</v>
      </c>
      <c r="G22" s="27" t="s">
        <v>154</v>
      </c>
      <c r="H22" s="27" t="b">
        <v>1</v>
      </c>
      <c r="I22" s="27">
        <v>2</v>
      </c>
      <c r="J22" s="27" t="s">
        <v>291</v>
      </c>
      <c r="K22" s="7" t="b">
        <v>1</v>
      </c>
      <c r="L22" s="7">
        <v>2</v>
      </c>
      <c r="M22" s="28" t="s">
        <v>332</v>
      </c>
      <c r="N22" s="8" t="s">
        <v>330</v>
      </c>
      <c r="O22" s="7" t="b">
        <v>1</v>
      </c>
      <c r="P22" s="8"/>
      <c r="Q22" s="27" t="s">
        <v>155</v>
      </c>
      <c r="R22" s="27" t="s">
        <v>156</v>
      </c>
      <c r="S22" s="7"/>
    </row>
    <row r="23" spans="1:19" ht="55.05" customHeight="1" x14ac:dyDescent="0.3">
      <c r="A23" s="4" t="s">
        <v>157</v>
      </c>
      <c r="B23" s="26" t="s">
        <v>158</v>
      </c>
      <c r="C23" s="24" t="s">
        <v>159</v>
      </c>
      <c r="D23" s="26" t="s">
        <v>160</v>
      </c>
      <c r="E23" s="5" t="s">
        <v>33</v>
      </c>
      <c r="F23" s="5">
        <v>2</v>
      </c>
      <c r="G23" s="26" t="s">
        <v>161</v>
      </c>
      <c r="H23" s="26" t="s">
        <v>33</v>
      </c>
      <c r="I23" s="26">
        <v>2</v>
      </c>
      <c r="J23" s="26" t="s">
        <v>292</v>
      </c>
      <c r="K23" s="5" t="b">
        <v>1</v>
      </c>
      <c r="L23" s="5">
        <v>2</v>
      </c>
      <c r="M23" s="5" t="s">
        <v>319</v>
      </c>
      <c r="N23" s="6" t="s">
        <v>329</v>
      </c>
      <c r="O23" s="5" t="s">
        <v>33</v>
      </c>
      <c r="P23" s="6" t="s">
        <v>262</v>
      </c>
      <c r="Q23" s="26" t="s">
        <v>162</v>
      </c>
      <c r="R23" s="26" t="s">
        <v>163</v>
      </c>
      <c r="S23" s="5"/>
    </row>
    <row r="24" spans="1:19" ht="55.05" customHeight="1" x14ac:dyDescent="0.3">
      <c r="A24" s="4" t="s">
        <v>164</v>
      </c>
      <c r="B24" s="27" t="s">
        <v>165</v>
      </c>
      <c r="C24" s="25" t="s">
        <v>166</v>
      </c>
      <c r="D24" s="27" t="s">
        <v>40</v>
      </c>
      <c r="E24" s="7" t="s">
        <v>33</v>
      </c>
      <c r="F24" s="7">
        <v>2</v>
      </c>
      <c r="G24" s="27" t="s">
        <v>167</v>
      </c>
      <c r="H24" s="27" t="s">
        <v>33</v>
      </c>
      <c r="I24" s="27">
        <v>2</v>
      </c>
      <c r="J24" s="27" t="s">
        <v>293</v>
      </c>
      <c r="K24" s="7" t="s">
        <v>33</v>
      </c>
      <c r="L24" s="7">
        <v>2</v>
      </c>
      <c r="M24" s="7" t="s">
        <v>320</v>
      </c>
      <c r="N24" s="8" t="s">
        <v>330</v>
      </c>
      <c r="O24" s="7" t="s">
        <v>33</v>
      </c>
      <c r="P24" s="8"/>
      <c r="Q24" s="27" t="s">
        <v>168</v>
      </c>
      <c r="R24" s="27" t="s">
        <v>169</v>
      </c>
      <c r="S24" s="7"/>
    </row>
    <row r="25" spans="1:19" ht="55.05" customHeight="1" x14ac:dyDescent="0.3">
      <c r="A25" s="4" t="s">
        <v>170</v>
      </c>
      <c r="B25" s="26" t="s">
        <v>171</v>
      </c>
      <c r="C25" s="24" t="s">
        <v>172</v>
      </c>
      <c r="D25" s="26" t="s">
        <v>173</v>
      </c>
      <c r="E25" s="5" t="s">
        <v>25</v>
      </c>
      <c r="F25" s="5">
        <v>3</v>
      </c>
      <c r="G25" s="26" t="s">
        <v>174</v>
      </c>
      <c r="H25" s="26" t="b">
        <v>1</v>
      </c>
      <c r="I25" s="26">
        <v>3</v>
      </c>
      <c r="J25" s="26" t="s">
        <v>294</v>
      </c>
      <c r="K25" s="5" t="b">
        <v>1</v>
      </c>
      <c r="L25" s="5">
        <v>3</v>
      </c>
      <c r="M25" s="5" t="s">
        <v>321</v>
      </c>
      <c r="N25" s="6" t="s">
        <v>330</v>
      </c>
      <c r="O25" s="5" t="b">
        <f>TRUE()</f>
        <v>1</v>
      </c>
      <c r="P25" s="6"/>
      <c r="Q25" s="26" t="s">
        <v>175</v>
      </c>
      <c r="R25" s="26" t="s">
        <v>176</v>
      </c>
      <c r="S25" s="5"/>
    </row>
    <row r="26" spans="1:19" ht="55.05" customHeight="1" x14ac:dyDescent="0.3">
      <c r="A26" s="4" t="s">
        <v>177</v>
      </c>
      <c r="B26" s="27" t="s">
        <v>178</v>
      </c>
      <c r="C26" s="25" t="s">
        <v>179</v>
      </c>
      <c r="D26" s="7" t="s">
        <v>180</v>
      </c>
      <c r="E26" s="7" t="s">
        <v>25</v>
      </c>
      <c r="F26" s="7">
        <v>2</v>
      </c>
      <c r="G26" s="27" t="s">
        <v>181</v>
      </c>
      <c r="H26" s="27" t="b">
        <v>1</v>
      </c>
      <c r="I26" s="27">
        <v>2</v>
      </c>
      <c r="J26" s="27" t="s">
        <v>295</v>
      </c>
      <c r="K26" s="7" t="s">
        <v>33</v>
      </c>
      <c r="L26" s="7">
        <v>2</v>
      </c>
      <c r="M26" s="7" t="s">
        <v>322</v>
      </c>
      <c r="N26" s="8" t="s">
        <v>329</v>
      </c>
      <c r="O26" s="7" t="s">
        <v>33</v>
      </c>
      <c r="P26" s="8" t="s">
        <v>262</v>
      </c>
      <c r="Q26" s="27" t="s">
        <v>182</v>
      </c>
      <c r="R26" s="27" t="s">
        <v>183</v>
      </c>
      <c r="S26" s="7"/>
    </row>
    <row r="27" spans="1:19" ht="55.05" customHeight="1" x14ac:dyDescent="0.3">
      <c r="A27" s="4" t="s">
        <v>184</v>
      </c>
      <c r="B27" s="26" t="s">
        <v>185</v>
      </c>
      <c r="C27" s="24" t="s">
        <v>186</v>
      </c>
      <c r="D27" s="26" t="s">
        <v>187</v>
      </c>
      <c r="E27" s="5" t="s">
        <v>33</v>
      </c>
      <c r="F27" s="5">
        <v>2</v>
      </c>
      <c r="G27" s="26" t="s">
        <v>188</v>
      </c>
      <c r="H27" s="26" t="s">
        <v>33</v>
      </c>
      <c r="I27" s="26">
        <v>2</v>
      </c>
      <c r="J27" s="26" t="s">
        <v>296</v>
      </c>
      <c r="K27" s="5" t="s">
        <v>33</v>
      </c>
      <c r="L27" s="5">
        <v>2</v>
      </c>
      <c r="M27" s="5" t="s">
        <v>323</v>
      </c>
      <c r="N27" s="6" t="s">
        <v>330</v>
      </c>
      <c r="O27" s="5" t="s">
        <v>33</v>
      </c>
      <c r="P27" s="6"/>
      <c r="Q27" s="26" t="s">
        <v>189</v>
      </c>
      <c r="R27" s="26" t="s">
        <v>190</v>
      </c>
      <c r="S27" s="5"/>
    </row>
    <row r="28" spans="1:19" ht="55.05" customHeight="1" x14ac:dyDescent="0.3">
      <c r="A28" s="4" t="s">
        <v>191</v>
      </c>
      <c r="B28" s="27" t="s">
        <v>192</v>
      </c>
      <c r="C28" s="25" t="s">
        <v>193</v>
      </c>
      <c r="D28" s="27" t="s">
        <v>94</v>
      </c>
      <c r="E28" s="7" t="s">
        <v>25</v>
      </c>
      <c r="F28" s="7">
        <v>3</v>
      </c>
      <c r="G28" s="27" t="s">
        <v>194</v>
      </c>
      <c r="H28" s="27" t="b">
        <v>1</v>
      </c>
      <c r="I28" s="27">
        <v>3</v>
      </c>
      <c r="J28" s="27" t="s">
        <v>297</v>
      </c>
      <c r="K28" s="7" t="b">
        <v>1</v>
      </c>
      <c r="L28" s="7">
        <v>2</v>
      </c>
      <c r="M28" s="7" t="s">
        <v>324</v>
      </c>
      <c r="N28" s="8" t="s">
        <v>330</v>
      </c>
      <c r="O28" s="7" t="b">
        <v>1</v>
      </c>
      <c r="P28" s="8"/>
      <c r="Q28" s="27" t="s">
        <v>195</v>
      </c>
      <c r="R28" s="27" t="s">
        <v>196</v>
      </c>
      <c r="S28" s="7"/>
    </row>
    <row r="29" spans="1:19" ht="55.05" customHeight="1" x14ac:dyDescent="0.3">
      <c r="A29" s="4" t="s">
        <v>197</v>
      </c>
      <c r="B29" s="26" t="s">
        <v>198</v>
      </c>
      <c r="C29" s="24" t="s">
        <v>199</v>
      </c>
      <c r="D29" s="26" t="s">
        <v>200</v>
      </c>
      <c r="E29" s="5" t="s">
        <v>25</v>
      </c>
      <c r="F29" s="5">
        <v>3</v>
      </c>
      <c r="G29" s="26" t="s">
        <v>201</v>
      </c>
      <c r="H29" s="26" t="b">
        <v>1</v>
      </c>
      <c r="I29" s="26">
        <v>3</v>
      </c>
      <c r="J29" s="26" t="s">
        <v>298</v>
      </c>
      <c r="K29" s="5" t="b">
        <v>1</v>
      </c>
      <c r="L29" s="5">
        <v>3</v>
      </c>
      <c r="M29" s="5" t="s">
        <v>325</v>
      </c>
      <c r="N29" s="6" t="s">
        <v>330</v>
      </c>
      <c r="O29" s="5" t="b">
        <v>1</v>
      </c>
      <c r="P29" s="6"/>
      <c r="Q29" s="26" t="s">
        <v>202</v>
      </c>
      <c r="R29" s="26" t="s">
        <v>203</v>
      </c>
      <c r="S29" s="5"/>
    </row>
    <row r="30" spans="1:19" ht="55.05" customHeight="1" x14ac:dyDescent="0.3">
      <c r="A30" s="4" t="s">
        <v>204</v>
      </c>
      <c r="B30" s="27" t="s">
        <v>205</v>
      </c>
      <c r="C30" s="25" t="s">
        <v>206</v>
      </c>
      <c r="D30" s="27" t="s">
        <v>207</v>
      </c>
      <c r="E30" s="7" t="s">
        <v>25</v>
      </c>
      <c r="F30" s="7">
        <v>2</v>
      </c>
      <c r="G30" s="27" t="s">
        <v>208</v>
      </c>
      <c r="H30" s="27" t="b">
        <v>1</v>
      </c>
      <c r="I30" s="27">
        <v>2</v>
      </c>
      <c r="J30" s="27" t="s">
        <v>299</v>
      </c>
      <c r="K30" s="7" t="b">
        <v>1</v>
      </c>
      <c r="L30" s="7">
        <v>3</v>
      </c>
      <c r="M30" s="7" t="s">
        <v>326</v>
      </c>
      <c r="N30" s="8" t="s">
        <v>330</v>
      </c>
      <c r="O30" s="7" t="b">
        <f>TRUE()</f>
        <v>1</v>
      </c>
      <c r="P30" s="8"/>
      <c r="Q30" s="27" t="s">
        <v>209</v>
      </c>
      <c r="R30" s="27" t="s">
        <v>210</v>
      </c>
      <c r="S30" s="7"/>
    </row>
    <row r="31" spans="1:19" ht="55.05" customHeight="1" x14ac:dyDescent="0.3">
      <c r="A31" s="4" t="s">
        <v>211</v>
      </c>
      <c r="B31" s="26" t="s">
        <v>212</v>
      </c>
      <c r="C31" s="24" t="s">
        <v>213</v>
      </c>
      <c r="D31" s="26" t="s">
        <v>214</v>
      </c>
      <c r="E31" s="5" t="s">
        <v>25</v>
      </c>
      <c r="F31" s="5">
        <v>2</v>
      </c>
      <c r="G31" s="26" t="s">
        <v>215</v>
      </c>
      <c r="H31" s="26" t="b">
        <v>1</v>
      </c>
      <c r="I31" s="26">
        <v>2</v>
      </c>
      <c r="J31" s="26" t="s">
        <v>300</v>
      </c>
      <c r="K31" s="5" t="b">
        <v>1</v>
      </c>
      <c r="L31" s="5">
        <v>3</v>
      </c>
      <c r="M31" s="5" t="s">
        <v>327</v>
      </c>
      <c r="N31" s="6" t="s">
        <v>330</v>
      </c>
      <c r="O31" s="5" t="b">
        <f>TRUE()</f>
        <v>1</v>
      </c>
      <c r="P31" s="6"/>
      <c r="Q31" s="26" t="s">
        <v>216</v>
      </c>
      <c r="R31" s="26" t="s">
        <v>217</v>
      </c>
      <c r="S31" s="5"/>
    </row>
    <row r="32" spans="1:19" ht="79.8" customHeight="1" x14ac:dyDescent="0.3">
      <c r="A32" s="4" t="s">
        <v>218</v>
      </c>
      <c r="B32" s="27" t="s">
        <v>219</v>
      </c>
      <c r="C32" s="25" t="s">
        <v>220</v>
      </c>
      <c r="D32" s="7" t="s">
        <v>221</v>
      </c>
      <c r="E32" s="7" t="s">
        <v>25</v>
      </c>
      <c r="F32" s="7">
        <v>3</v>
      </c>
      <c r="G32" s="27" t="s">
        <v>222</v>
      </c>
      <c r="H32" s="27" t="b">
        <v>1</v>
      </c>
      <c r="I32" s="27">
        <v>3</v>
      </c>
      <c r="J32" s="27" t="s">
        <v>301</v>
      </c>
      <c r="K32" s="7" t="b">
        <v>1</v>
      </c>
      <c r="L32" s="7">
        <v>3</v>
      </c>
      <c r="M32" s="7" t="s">
        <v>328</v>
      </c>
      <c r="N32" s="8" t="s">
        <v>330</v>
      </c>
      <c r="O32" s="7" t="b">
        <v>1</v>
      </c>
      <c r="P32" s="8"/>
      <c r="Q32" s="27" t="s">
        <v>223</v>
      </c>
      <c r="R32" s="27" t="s">
        <v>224</v>
      </c>
      <c r="S32" s="7"/>
    </row>
  </sheetData>
  <mergeCells count="6">
    <mergeCell ref="H1:J1"/>
    <mergeCell ref="A1:D1"/>
    <mergeCell ref="N1:Q1"/>
    <mergeCell ref="R1:S1"/>
    <mergeCell ref="E1:G1"/>
    <mergeCell ref="K1:M1"/>
  </mergeCells>
  <dataValidations count="6">
    <dataValidation type="list" sqref="E3:E32 K3:K32 O3:O32" xr:uid="{00000000-0002-0000-0000-000000000000}">
      <formula1>"TRUE,FALSE,UNVERIFIABLE"</formula1>
    </dataValidation>
    <dataValidation type="list" sqref="F3:F32 L3:L32" xr:uid="{00000000-0002-0000-0000-000001000000}">
      <formula1>"1,2,3"</formula1>
    </dataValidation>
    <dataValidation type="list" sqref="N3:N32" xr:uid="{F3E82AC5-113B-47A2-95CD-1396D77E8BF5}">
      <formula1>"Y,N"</formula1>
    </dataValidation>
    <dataValidation type="list" sqref="D3:D32" xr:uid="{00000000-0002-0000-0000-000003000000}">
      <formula1>"Health/Medicine,Climate/Environment,Nutrition,COVID-19,Biology,Physics/Chemistry,Other"</formula1>
    </dataValidation>
    <dataValidation type="list" sqref="P3:P32" xr:uid="{B6A52CD4-E64B-4D32-94EC-F06C581DEFB5}">
      <formula1>"SCOPE,EVIDENCE,IRONY,PRECISION,VAGUE,OTHER,-"</formula1>
    </dataValidation>
    <dataValidation type="list" sqref="S3:S32" xr:uid="{00000000-0002-0000-0000-000005000000}">
      <formula1>"TRUE,FALSE,UNVERIFIABLE,ERROR"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showGridLines="0" tabSelected="1" workbookViewId="0">
      <selection activeCell="B8" sqref="B7:B8"/>
    </sheetView>
  </sheetViews>
  <sheetFormatPr defaultRowHeight="14.4" x14ac:dyDescent="0.3"/>
  <cols>
    <col min="1" max="1" width="30" customWidth="1"/>
    <col min="2" max="2" width="20" customWidth="1"/>
    <col min="3" max="3" width="45" customWidth="1"/>
  </cols>
  <sheetData>
    <row r="1" spans="1:3" ht="28.05" customHeight="1" x14ac:dyDescent="0.3">
      <c r="A1" s="1" t="s">
        <v>225</v>
      </c>
      <c r="B1" s="1" t="s">
        <v>226</v>
      </c>
      <c r="C1" s="1" t="s">
        <v>227</v>
      </c>
    </row>
    <row r="2" spans="1:3" ht="22.05" customHeight="1" x14ac:dyDescent="0.3">
      <c r="A2" s="9" t="s">
        <v>228</v>
      </c>
      <c r="B2" s="10" t="str">
        <f>'Annotation Tracker'!A32</f>
        <v>EN-30</v>
      </c>
      <c r="C2" s="11" t="s">
        <v>229</v>
      </c>
    </row>
    <row r="3" spans="1:3" ht="22.05" customHeight="1" x14ac:dyDescent="0.3">
      <c r="A3" s="9" t="s">
        <v>230</v>
      </c>
      <c r="B3" s="10">
        <f>COUNTIF('Annotation Tracker'!N3:N32,"Y")</f>
        <v>24</v>
      </c>
      <c r="C3" s="11"/>
    </row>
    <row r="4" spans="1:3" ht="22.05" customHeight="1" x14ac:dyDescent="0.3">
      <c r="A4" s="9" t="s">
        <v>231</v>
      </c>
      <c r="B4" s="10">
        <f>COUNTIF('Annotation Tracker'!N3:N32,"N")</f>
        <v>6</v>
      </c>
      <c r="C4" s="11"/>
    </row>
    <row r="5" spans="1:3" ht="22.05" customHeight="1" x14ac:dyDescent="0.3">
      <c r="A5" s="9" t="s">
        <v>232</v>
      </c>
      <c r="B5" s="12">
        <f>B3/(B3+B4)</f>
        <v>0.8</v>
      </c>
      <c r="C5" s="11" t="s">
        <v>233</v>
      </c>
    </row>
    <row r="6" spans="1:3" ht="22.05" customHeight="1" x14ac:dyDescent="0.3">
      <c r="A6" s="5"/>
      <c r="B6" s="6"/>
      <c r="C6" s="13"/>
    </row>
    <row r="7" spans="1:3" ht="22.05" customHeight="1" x14ac:dyDescent="0.3">
      <c r="A7" s="9" t="s">
        <v>234</v>
      </c>
      <c r="B7" s="29">
        <v>0.53949999999999998</v>
      </c>
      <c r="C7" s="11" t="s">
        <v>235</v>
      </c>
    </row>
    <row r="8" spans="1:3" ht="30.6" customHeight="1" x14ac:dyDescent="0.3">
      <c r="A8" s="9" t="s">
        <v>236</v>
      </c>
      <c r="B8" s="10" t="s">
        <v>333</v>
      </c>
      <c r="C8" s="11" t="s">
        <v>237</v>
      </c>
    </row>
    <row r="9" spans="1:3" ht="22.05" customHeight="1" x14ac:dyDescent="0.3">
      <c r="A9" s="5"/>
      <c r="B9" s="6"/>
      <c r="C9" s="13"/>
    </row>
    <row r="10" spans="1:3" ht="22.05" customHeight="1" x14ac:dyDescent="0.3">
      <c r="A10" s="9" t="s">
        <v>238</v>
      </c>
      <c r="B10" s="10">
        <f>COUNTIF('Annotation Tracker'!O3:O32,"TRUE")</f>
        <v>16</v>
      </c>
      <c r="C10" s="11"/>
    </row>
    <row r="11" spans="1:3" ht="22.05" customHeight="1" x14ac:dyDescent="0.3">
      <c r="A11" s="9" t="s">
        <v>239</v>
      </c>
      <c r="B11" s="10">
        <f>COUNTIF('Annotation Tracker'!O3:O32,"FALSE")</f>
        <v>3</v>
      </c>
      <c r="C11" s="11"/>
    </row>
    <row r="12" spans="1:3" ht="22.05" customHeight="1" x14ac:dyDescent="0.3">
      <c r="A12" s="9" t="s">
        <v>240</v>
      </c>
      <c r="B12" s="10">
        <f>COUNTIF('Annotation Tracker'!O3:O32,"UNVERIFIABLE")</f>
        <v>11</v>
      </c>
      <c r="C12" s="11"/>
    </row>
    <row r="13" spans="1:3" ht="22.05" customHeight="1" x14ac:dyDescent="0.3">
      <c r="A13" s="5"/>
      <c r="B13" s="6"/>
      <c r="C13" s="13"/>
    </row>
    <row r="14" spans="1:3" ht="22.05" customHeight="1" x14ac:dyDescent="0.3">
      <c r="A14" s="9" t="s">
        <v>241</v>
      </c>
      <c r="B14" s="10"/>
      <c r="C14" s="11" t="s">
        <v>242</v>
      </c>
    </row>
    <row r="15" spans="1:3" ht="22.05" customHeight="1" x14ac:dyDescent="0.3">
      <c r="A15" s="9" t="s">
        <v>243</v>
      </c>
      <c r="B15" s="10"/>
      <c r="C15" s="11" t="s">
        <v>242</v>
      </c>
    </row>
    <row r="16" spans="1:3" ht="22.05" customHeight="1" x14ac:dyDescent="0.3">
      <c r="A16" s="9" t="s">
        <v>244</v>
      </c>
      <c r="B16" s="10"/>
      <c r="C16" s="11" t="s">
        <v>242</v>
      </c>
    </row>
    <row r="17" spans="1:3" ht="22.05" customHeight="1" x14ac:dyDescent="0.3">
      <c r="A17" s="9" t="s">
        <v>245</v>
      </c>
      <c r="B17" s="10"/>
      <c r="C17" s="11" t="e">
        <f>correct/total</f>
        <v>#NAME?</v>
      </c>
    </row>
    <row r="19" spans="1:3" ht="22.05" customHeight="1" x14ac:dyDescent="0.3">
      <c r="A19" s="30" t="s">
        <v>246</v>
      </c>
      <c r="B19" s="31"/>
      <c r="C19" s="32"/>
    </row>
    <row r="20" spans="1:3" ht="22.05" customHeight="1" x14ac:dyDescent="0.3">
      <c r="A20" s="33"/>
      <c r="B20" s="34"/>
      <c r="C20" s="35"/>
    </row>
    <row r="21" spans="1:3" ht="22.05" customHeight="1" x14ac:dyDescent="0.3">
      <c r="A21" s="33"/>
      <c r="B21" s="34"/>
      <c r="C21" s="35"/>
    </row>
    <row r="22" spans="1:3" ht="22.05" customHeight="1" x14ac:dyDescent="0.3">
      <c r="A22" s="36"/>
      <c r="B22" s="37"/>
      <c r="C22" s="38"/>
    </row>
  </sheetData>
  <mergeCells count="1">
    <mergeCell ref="A19:C2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showGridLines="0" topLeftCell="A3" workbookViewId="0">
      <selection activeCell="B5" sqref="B5"/>
    </sheetView>
  </sheetViews>
  <sheetFormatPr defaultRowHeight="14.4" x14ac:dyDescent="0.3"/>
  <cols>
    <col min="1" max="1" width="14" customWidth="1"/>
    <col min="2" max="3" width="55" customWidth="1"/>
    <col min="4" max="4" width="16" customWidth="1"/>
  </cols>
  <sheetData>
    <row r="1" spans="1:4" ht="30" customHeight="1" x14ac:dyDescent="0.3">
      <c r="A1" s="48" t="s">
        <v>247</v>
      </c>
      <c r="B1" s="40"/>
      <c r="C1" s="40"/>
      <c r="D1" s="41"/>
    </row>
    <row r="2" spans="1:4" ht="24" customHeight="1" x14ac:dyDescent="0.3">
      <c r="A2" s="2" t="s">
        <v>248</v>
      </c>
      <c r="B2" s="2" t="s">
        <v>249</v>
      </c>
      <c r="C2" s="2" t="s">
        <v>250</v>
      </c>
      <c r="D2" s="2" t="s">
        <v>251</v>
      </c>
    </row>
    <row r="3" spans="1:4" ht="70.05" customHeight="1" x14ac:dyDescent="0.3">
      <c r="A3" s="14" t="s">
        <v>25</v>
      </c>
      <c r="B3" s="15" t="s">
        <v>252</v>
      </c>
      <c r="C3" s="15" t="s">
        <v>253</v>
      </c>
      <c r="D3" s="16" t="s">
        <v>254</v>
      </c>
    </row>
    <row r="4" spans="1:4" ht="70.05" customHeight="1" x14ac:dyDescent="0.3">
      <c r="A4" s="17" t="s">
        <v>41</v>
      </c>
      <c r="B4" s="18" t="s">
        <v>255</v>
      </c>
      <c r="C4" s="18" t="s">
        <v>256</v>
      </c>
      <c r="D4" s="19" t="s">
        <v>254</v>
      </c>
    </row>
    <row r="5" spans="1:4" ht="70.05" customHeight="1" x14ac:dyDescent="0.3">
      <c r="A5" s="20" t="s">
        <v>33</v>
      </c>
      <c r="B5" s="21" t="s">
        <v>257</v>
      </c>
      <c r="C5" s="21"/>
      <c r="D5" s="22" t="s">
        <v>258</v>
      </c>
    </row>
    <row r="7" spans="1:4" ht="22.05" customHeight="1" x14ac:dyDescent="0.3">
      <c r="A7" s="44" t="s">
        <v>259</v>
      </c>
      <c r="B7" s="40"/>
      <c r="C7" s="40"/>
      <c r="D7" s="41"/>
    </row>
    <row r="8" spans="1:4" ht="22.05" customHeight="1" x14ac:dyDescent="0.3">
      <c r="A8" s="23" t="s">
        <v>260</v>
      </c>
      <c r="B8" s="47" t="s">
        <v>261</v>
      </c>
      <c r="C8" s="40"/>
      <c r="D8" s="41"/>
    </row>
    <row r="9" spans="1:4" ht="22.05" customHeight="1" x14ac:dyDescent="0.3">
      <c r="A9" s="23" t="s">
        <v>262</v>
      </c>
      <c r="B9" s="47" t="s">
        <v>263</v>
      </c>
      <c r="C9" s="40"/>
      <c r="D9" s="41"/>
    </row>
    <row r="10" spans="1:4" ht="22.05" customHeight="1" x14ac:dyDescent="0.3">
      <c r="A10" s="23" t="s">
        <v>264</v>
      </c>
      <c r="B10" s="47" t="s">
        <v>265</v>
      </c>
      <c r="C10" s="40"/>
      <c r="D10" s="41"/>
    </row>
    <row r="11" spans="1:4" ht="22.05" customHeight="1" x14ac:dyDescent="0.3">
      <c r="A11" s="23" t="s">
        <v>266</v>
      </c>
      <c r="B11" s="47" t="s">
        <v>267</v>
      </c>
      <c r="C11" s="40"/>
      <c r="D11" s="41"/>
    </row>
    <row r="12" spans="1:4" ht="22.05" customHeight="1" x14ac:dyDescent="0.3">
      <c r="A12" s="23" t="s">
        <v>268</v>
      </c>
      <c r="B12" s="47" t="s">
        <v>269</v>
      </c>
      <c r="C12" s="40"/>
      <c r="D12" s="41"/>
    </row>
    <row r="13" spans="1:4" ht="22.05" customHeight="1" x14ac:dyDescent="0.3">
      <c r="A13" s="23" t="s">
        <v>270</v>
      </c>
      <c r="B13" s="47" t="s">
        <v>271</v>
      </c>
      <c r="C13" s="40"/>
      <c r="D13" s="41"/>
    </row>
  </sheetData>
  <mergeCells count="8">
    <mergeCell ref="B13:D13"/>
    <mergeCell ref="A7:D7"/>
    <mergeCell ref="B12:D12"/>
    <mergeCell ref="B10:D10"/>
    <mergeCell ref="A1:D1"/>
    <mergeCell ref="B11:D11"/>
    <mergeCell ref="B8:D8"/>
    <mergeCell ref="B9:D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Annotation Tracker</vt:lpstr>
      <vt:lpstr>Agreement Summary</vt:lpstr>
      <vt:lpstr>Label Quick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Mateus Carneiro</cp:lastModifiedBy>
  <dcterms:created xsi:type="dcterms:W3CDTF">2026-06-08T14:17:59Z</dcterms:created>
  <dcterms:modified xsi:type="dcterms:W3CDTF">2026-06-09T18:55:32Z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0x0101001AFEEAED4168B94EB049AD0E0CA06296</vt:lpwstr>
  </property>
</Properties>
</file>